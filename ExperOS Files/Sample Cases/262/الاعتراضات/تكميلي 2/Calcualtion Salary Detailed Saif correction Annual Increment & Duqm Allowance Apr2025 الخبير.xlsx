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625d88cdb56fc3/سطح المكتب/MoJ/المأموريات/262/الاعتراضات/تكميلي 2/"/>
    </mc:Choice>
  </mc:AlternateContent>
  <xr:revisionPtr revIDLastSave="57" documentId="13_ncr:1_{6250C518-6453-462A-9925-11A52845CEB3}" xr6:coauthVersionLast="47" xr6:coauthVersionMax="47" xr10:uidLastSave="{C49BF37E-395C-4CA2-93DF-F3D60AC06C20}"/>
  <bookViews>
    <workbookView xWindow="-90" yWindow="-90" windowWidth="19380" windowHeight="11460" activeTab="3" xr2:uid="{538647D3-0CA9-47E1-A462-21D96886BAAF}"/>
  </bookViews>
  <sheets>
    <sheet name="حساب الأجور (2)" sheetId="9" r:id="rId1"/>
    <sheet name="م" sheetId="7" r:id="rId2"/>
    <sheet name="Sheet3" sheetId="3" state="hidden" r:id="rId3"/>
    <sheet name="حساب الأجور" sheetId="5" r:id="rId4"/>
    <sheet name="Sheet2" sheetId="8" r:id="rId5"/>
    <sheet name="Sheet1" sheetId="4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5" l="1"/>
  <c r="Q12" i="5"/>
  <c r="Q13" i="5"/>
  <c r="Q14" i="5"/>
  <c r="Q15" i="5"/>
  <c r="Q16" i="5"/>
  <c r="P11" i="5"/>
  <c r="P12" i="5"/>
  <c r="P13" i="5"/>
  <c r="P14" i="5"/>
  <c r="P15" i="5"/>
  <c r="P16" i="5"/>
  <c r="Q10" i="5"/>
  <c r="P10" i="5"/>
  <c r="O15" i="5"/>
  <c r="O16" i="5"/>
  <c r="O14" i="5"/>
  <c r="O11" i="5"/>
  <c r="O12" i="5"/>
  <c r="O13" i="5"/>
  <c r="O10" i="5"/>
  <c r="M15" i="8"/>
  <c r="M8" i="8"/>
  <c r="M9" i="8"/>
  <c r="M10" i="8"/>
  <c r="M11" i="8"/>
  <c r="M12" i="8"/>
  <c r="M13" i="8"/>
  <c r="M14" i="8"/>
  <c r="M7" i="8"/>
  <c r="L8" i="8"/>
  <c r="L9" i="8"/>
  <c r="L10" i="8"/>
  <c r="L11" i="8"/>
  <c r="L12" i="8"/>
  <c r="L13" i="8"/>
  <c r="L14" i="8"/>
  <c r="L7" i="8"/>
  <c r="Q19" i="8"/>
  <c r="S3" i="8"/>
  <c r="S4" i="8"/>
  <c r="S5" i="8"/>
  <c r="S6" i="8"/>
  <c r="S7" i="8"/>
  <c r="S8" i="8"/>
  <c r="S9" i="8"/>
  <c r="S10" i="8"/>
  <c r="O9" i="9"/>
  <c r="O10" i="9"/>
  <c r="O11" i="9"/>
  <c r="O12" i="9"/>
  <c r="O13" i="9"/>
  <c r="O14" i="9"/>
  <c r="O15" i="9"/>
  <c r="O16" i="9"/>
  <c r="O17" i="9"/>
  <c r="O8" i="9"/>
  <c r="E29" i="9"/>
  <c r="E28" i="9"/>
  <c r="E25" i="9"/>
  <c r="E24" i="9"/>
  <c r="E22" i="9"/>
  <c r="E21" i="9"/>
  <c r="E20" i="9"/>
  <c r="D20" i="9"/>
  <c r="C20" i="9"/>
  <c r="C17" i="9"/>
  <c r="H17" i="9" s="1"/>
  <c r="C16" i="9"/>
  <c r="H16" i="9" s="1"/>
  <c r="H15" i="9"/>
  <c r="F15" i="9"/>
  <c r="G16" i="9" s="1"/>
  <c r="K14" i="9"/>
  <c r="K15" i="9" s="1"/>
  <c r="J14" i="9"/>
  <c r="J15" i="9" s="1"/>
  <c r="E27" i="9" s="1"/>
  <c r="H14" i="9"/>
  <c r="F14" i="9"/>
  <c r="V11" i="9"/>
  <c r="W6" i="9" s="1"/>
  <c r="E11" i="9"/>
  <c r="D11" i="9"/>
  <c r="E23" i="9" s="1"/>
  <c r="I9" i="9"/>
  <c r="N9" i="9" s="1"/>
  <c r="C9" i="9"/>
  <c r="H9" i="9" s="1"/>
  <c r="N8" i="9"/>
  <c r="H20" i="9" s="1"/>
  <c r="N20" i="9" s="1"/>
  <c r="L8" i="9"/>
  <c r="F20" i="9" s="1"/>
  <c r="H8" i="9"/>
  <c r="F8" i="9"/>
  <c r="G9" i="9" s="1"/>
  <c r="I9" i="7"/>
  <c r="L9" i="7" s="1"/>
  <c r="L8" i="7"/>
  <c r="M9" i="7" s="1"/>
  <c r="C9" i="7"/>
  <c r="C10" i="7" s="1"/>
  <c r="F8" i="7"/>
  <c r="G14" i="7"/>
  <c r="I9" i="5"/>
  <c r="I10" i="5" s="1"/>
  <c r="I10" i="9" l="1"/>
  <c r="L10" i="9" s="1"/>
  <c r="K20" i="9"/>
  <c r="L20" i="9"/>
  <c r="H21" i="9"/>
  <c r="N21" i="9" s="1"/>
  <c r="M12" i="9"/>
  <c r="L11" i="9"/>
  <c r="I12" i="9"/>
  <c r="N10" i="9"/>
  <c r="F17" i="9"/>
  <c r="F9" i="9"/>
  <c r="G10" i="9" s="1"/>
  <c r="L9" i="9"/>
  <c r="I11" i="9"/>
  <c r="C10" i="9"/>
  <c r="D22" i="9" s="1"/>
  <c r="C22" i="9" s="1"/>
  <c r="E26" i="9"/>
  <c r="D21" i="9"/>
  <c r="C21" i="9" s="1"/>
  <c r="M9" i="9"/>
  <c r="F16" i="9"/>
  <c r="G17" i="9" s="1"/>
  <c r="I10" i="7"/>
  <c r="L10" i="7" s="1"/>
  <c r="M11" i="7" s="1"/>
  <c r="F9" i="7"/>
  <c r="G10" i="7" s="1"/>
  <c r="F10" i="7"/>
  <c r="G11" i="7" s="1"/>
  <c r="M10" i="7"/>
  <c r="C11" i="7"/>
  <c r="E29" i="5"/>
  <c r="E28" i="5"/>
  <c r="E25" i="5"/>
  <c r="E24" i="5"/>
  <c r="E22" i="5"/>
  <c r="E21" i="5"/>
  <c r="E20" i="5"/>
  <c r="D20" i="5"/>
  <c r="C20" i="5" s="1"/>
  <c r="C16" i="5"/>
  <c r="C17" i="5" s="1"/>
  <c r="H15" i="5"/>
  <c r="F15" i="5"/>
  <c r="G16" i="5" s="1"/>
  <c r="K14" i="5"/>
  <c r="J14" i="5"/>
  <c r="J15" i="5" s="1"/>
  <c r="H14" i="5"/>
  <c r="F14" i="5"/>
  <c r="V11" i="5"/>
  <c r="W6" i="5" s="1"/>
  <c r="E11" i="5"/>
  <c r="D11" i="5"/>
  <c r="N9" i="5"/>
  <c r="L9" i="5"/>
  <c r="C9" i="5"/>
  <c r="N8" i="5"/>
  <c r="L8" i="5"/>
  <c r="M9" i="5" s="1"/>
  <c r="H8" i="5"/>
  <c r="F8" i="5"/>
  <c r="G9" i="5" s="1"/>
  <c r="J21" i="3"/>
  <c r="J22" i="3"/>
  <c r="J24" i="3"/>
  <c r="J25" i="3"/>
  <c r="J28" i="3"/>
  <c r="J29" i="3"/>
  <c r="I20" i="3"/>
  <c r="J20" i="3"/>
  <c r="N8" i="3"/>
  <c r="I9" i="3"/>
  <c r="L9" i="3" s="1"/>
  <c r="C9" i="3"/>
  <c r="V11" i="3"/>
  <c r="W6" i="3" s="1"/>
  <c r="I13" i="9" l="1"/>
  <c r="N12" i="9"/>
  <c r="D24" i="9"/>
  <c r="C24" i="9" s="1"/>
  <c r="L12" i="9"/>
  <c r="N11" i="9"/>
  <c r="H10" i="9"/>
  <c r="C12" i="9"/>
  <c r="F10" i="9"/>
  <c r="C11" i="9"/>
  <c r="F21" i="9"/>
  <c r="M10" i="9"/>
  <c r="H22" i="9"/>
  <c r="N22" i="9" s="1"/>
  <c r="H20" i="3"/>
  <c r="I11" i="7"/>
  <c r="L11" i="7" s="1"/>
  <c r="C12" i="7"/>
  <c r="F11" i="7"/>
  <c r="G12" i="7" s="1"/>
  <c r="F20" i="5"/>
  <c r="L20" i="5" s="1"/>
  <c r="E26" i="5"/>
  <c r="K15" i="5"/>
  <c r="E27" i="5"/>
  <c r="H20" i="5"/>
  <c r="N20" i="5" s="1"/>
  <c r="F9" i="5"/>
  <c r="G10" i="5" s="1"/>
  <c r="C10" i="5"/>
  <c r="C12" i="5" s="1"/>
  <c r="F16" i="5"/>
  <c r="G17" i="5" s="1"/>
  <c r="E23" i="5"/>
  <c r="F17" i="5"/>
  <c r="H17" i="5"/>
  <c r="M10" i="5"/>
  <c r="H16" i="5"/>
  <c r="H9" i="5"/>
  <c r="H21" i="5" s="1"/>
  <c r="N21" i="5" s="1"/>
  <c r="D21" i="5"/>
  <c r="C21" i="5" s="1"/>
  <c r="I21" i="3"/>
  <c r="H21" i="3" s="1"/>
  <c r="N9" i="3"/>
  <c r="I10" i="3"/>
  <c r="H14" i="3"/>
  <c r="J14" i="3"/>
  <c r="K14" i="3"/>
  <c r="K15" i="3" s="1"/>
  <c r="F15" i="3"/>
  <c r="G16" i="3" s="1"/>
  <c r="F14" i="3"/>
  <c r="C16" i="3"/>
  <c r="C17" i="3" s="1"/>
  <c r="H17" i="3" s="1"/>
  <c r="D11" i="3"/>
  <c r="E11" i="3"/>
  <c r="M13" i="9" l="1"/>
  <c r="K21" i="9"/>
  <c r="L21" i="9"/>
  <c r="H11" i="9"/>
  <c r="F11" i="9"/>
  <c r="F23" i="9" s="1"/>
  <c r="G12" i="9"/>
  <c r="F22" i="9"/>
  <c r="F12" i="9"/>
  <c r="G13" i="9" s="1"/>
  <c r="H12" i="9"/>
  <c r="C13" i="9"/>
  <c r="D23" i="9"/>
  <c r="C23" i="9" s="1"/>
  <c r="H23" i="9"/>
  <c r="N23" i="9" s="1"/>
  <c r="H24" i="9"/>
  <c r="N24" i="9" s="1"/>
  <c r="I14" i="9"/>
  <c r="N13" i="9"/>
  <c r="L13" i="9"/>
  <c r="I15" i="9"/>
  <c r="F17" i="3"/>
  <c r="J15" i="3"/>
  <c r="J27" i="3" s="1"/>
  <c r="J26" i="3"/>
  <c r="J23" i="3"/>
  <c r="I12" i="7"/>
  <c r="L12" i="7" s="1"/>
  <c r="M12" i="7"/>
  <c r="F12" i="7"/>
  <c r="G13" i="7" s="1"/>
  <c r="C13" i="7"/>
  <c r="C14" i="7" s="1"/>
  <c r="K20" i="5"/>
  <c r="F21" i="5"/>
  <c r="L21" i="5" s="1"/>
  <c r="C11" i="5"/>
  <c r="H10" i="5"/>
  <c r="F10" i="5"/>
  <c r="G12" i="5" s="1"/>
  <c r="D22" i="5"/>
  <c r="C22" i="5" s="1"/>
  <c r="N10" i="5"/>
  <c r="I12" i="5"/>
  <c r="I11" i="5"/>
  <c r="L10" i="5"/>
  <c r="L10" i="3"/>
  <c r="L11" i="3" s="1"/>
  <c r="I12" i="3"/>
  <c r="I11" i="3"/>
  <c r="C10" i="3"/>
  <c r="I22" i="3" s="1"/>
  <c r="H22" i="3" s="1"/>
  <c r="D26" i="9" l="1"/>
  <c r="C26" i="9" s="1"/>
  <c r="N14" i="9"/>
  <c r="H26" i="9" s="1"/>
  <c r="N26" i="9" s="1"/>
  <c r="F13" i="9"/>
  <c r="H13" i="9"/>
  <c r="H25" i="9" s="1"/>
  <c r="N25" i="9" s="1"/>
  <c r="L22" i="9"/>
  <c r="K22" i="9"/>
  <c r="L23" i="9"/>
  <c r="K23" i="9"/>
  <c r="I16" i="9"/>
  <c r="N15" i="9"/>
  <c r="H27" i="9" s="1"/>
  <c r="N27" i="9" s="1"/>
  <c r="D27" i="9"/>
  <c r="C27" i="9" s="1"/>
  <c r="L14" i="9"/>
  <c r="F26" i="9" s="1"/>
  <c r="F25" i="9"/>
  <c r="L15" i="9"/>
  <c r="D25" i="9"/>
  <c r="C25" i="9" s="1"/>
  <c r="F24" i="9"/>
  <c r="C15" i="7"/>
  <c r="F15" i="7" s="1"/>
  <c r="F14" i="7"/>
  <c r="G15" i="7" s="1"/>
  <c r="I13" i="7"/>
  <c r="I14" i="7" s="1"/>
  <c r="I15" i="7" s="1"/>
  <c r="M13" i="7"/>
  <c r="F13" i="7"/>
  <c r="K21" i="5"/>
  <c r="D24" i="5"/>
  <c r="C24" i="5" s="1"/>
  <c r="N12" i="5"/>
  <c r="L12" i="5"/>
  <c r="I13" i="5"/>
  <c r="C13" i="5"/>
  <c r="H12" i="5"/>
  <c r="F12" i="5"/>
  <c r="G13" i="5" s="1"/>
  <c r="M12" i="5"/>
  <c r="L11" i="5"/>
  <c r="F22" i="5"/>
  <c r="H11" i="5"/>
  <c r="F11" i="5"/>
  <c r="D23" i="5"/>
  <c r="C23" i="5" s="1"/>
  <c r="N11" i="5"/>
  <c r="H22" i="5"/>
  <c r="N22" i="5" s="1"/>
  <c r="N11" i="3"/>
  <c r="I13" i="3"/>
  <c r="I14" i="3"/>
  <c r="I26" i="3" s="1"/>
  <c r="H26" i="3" s="1"/>
  <c r="N10" i="3"/>
  <c r="L12" i="3"/>
  <c r="C12" i="3"/>
  <c r="H12" i="3" s="1"/>
  <c r="C11" i="3"/>
  <c r="I23" i="3" s="1"/>
  <c r="H23" i="3" s="1"/>
  <c r="H9" i="3"/>
  <c r="F9" i="3"/>
  <c r="L8" i="3"/>
  <c r="H8" i="3"/>
  <c r="F8" i="3"/>
  <c r="G9" i="3" s="1"/>
  <c r="L25" i="9" l="1"/>
  <c r="K25" i="9"/>
  <c r="L26" i="9"/>
  <c r="K26" i="9"/>
  <c r="N16" i="9"/>
  <c r="H28" i="9" s="1"/>
  <c r="N28" i="9" s="1"/>
  <c r="D28" i="9"/>
  <c r="C28" i="9" s="1"/>
  <c r="I17" i="9"/>
  <c r="L16" i="9"/>
  <c r="L24" i="9"/>
  <c r="K24" i="9"/>
  <c r="M16" i="9"/>
  <c r="F27" i="9"/>
  <c r="I24" i="3"/>
  <c r="H24" i="3" s="1"/>
  <c r="L13" i="7"/>
  <c r="H23" i="5"/>
  <c r="N23" i="5" s="1"/>
  <c r="D25" i="5"/>
  <c r="C25" i="5" s="1"/>
  <c r="N13" i="5"/>
  <c r="L13" i="5"/>
  <c r="I14" i="5"/>
  <c r="I15" i="5"/>
  <c r="L22" i="5"/>
  <c r="K22" i="5"/>
  <c r="H24" i="5"/>
  <c r="N24" i="5" s="1"/>
  <c r="H13" i="5"/>
  <c r="F13" i="5"/>
  <c r="M13" i="5"/>
  <c r="F24" i="5"/>
  <c r="F23" i="5"/>
  <c r="I15" i="3"/>
  <c r="G10" i="3"/>
  <c r="N12" i="3"/>
  <c r="N24" i="3" s="1"/>
  <c r="R24" i="3" s="1"/>
  <c r="L13" i="3"/>
  <c r="H11" i="3"/>
  <c r="F11" i="3"/>
  <c r="L20" i="3"/>
  <c r="Q20" i="3" s="1"/>
  <c r="M9" i="3"/>
  <c r="N20" i="3"/>
  <c r="R20" i="3" s="1"/>
  <c r="H10" i="3"/>
  <c r="F12" i="3"/>
  <c r="F10" i="3"/>
  <c r="N21" i="3"/>
  <c r="R21" i="3" s="1"/>
  <c r="M12" i="3"/>
  <c r="L27" i="9" l="1"/>
  <c r="K27" i="9"/>
  <c r="M17" i="9"/>
  <c r="F28" i="9"/>
  <c r="N17" i="9"/>
  <c r="H29" i="9" s="1"/>
  <c r="N29" i="9" s="1"/>
  <c r="N31" i="9" s="1"/>
  <c r="D29" i="9"/>
  <c r="C29" i="9" s="1"/>
  <c r="C31" i="9" s="1"/>
  <c r="C32" i="9" s="1"/>
  <c r="L17" i="9"/>
  <c r="F29" i="9" s="1"/>
  <c r="M14" i="7"/>
  <c r="L14" i="7"/>
  <c r="L23" i="5"/>
  <c r="K23" i="5"/>
  <c r="L24" i="5"/>
  <c r="K24" i="5"/>
  <c r="H25" i="5"/>
  <c r="N25" i="5" s="1"/>
  <c r="L14" i="5"/>
  <c r="F26" i="5" s="1"/>
  <c r="L15" i="5"/>
  <c r="F25" i="5"/>
  <c r="D26" i="5"/>
  <c r="C26" i="5" s="1"/>
  <c r="N14" i="5"/>
  <c r="H26" i="5" s="1"/>
  <c r="N26" i="5" s="1"/>
  <c r="D27" i="5"/>
  <c r="C27" i="5" s="1"/>
  <c r="N15" i="5"/>
  <c r="H27" i="5" s="1"/>
  <c r="N27" i="5" s="1"/>
  <c r="I16" i="5"/>
  <c r="I16" i="3"/>
  <c r="I27" i="3"/>
  <c r="H27" i="3" s="1"/>
  <c r="L15" i="3"/>
  <c r="M16" i="3" s="1"/>
  <c r="L14" i="3"/>
  <c r="G12" i="3"/>
  <c r="N23" i="3"/>
  <c r="R23" i="3" s="1"/>
  <c r="L23" i="3"/>
  <c r="N13" i="3"/>
  <c r="M13" i="3"/>
  <c r="L24" i="3"/>
  <c r="O20" i="3"/>
  <c r="G13" i="3"/>
  <c r="L21" i="3"/>
  <c r="M10" i="3"/>
  <c r="N22" i="3"/>
  <c r="R22" i="3" s="1"/>
  <c r="L22" i="3"/>
  <c r="Q22" i="3" s="1"/>
  <c r="K28" i="9" l="1"/>
  <c r="L28" i="9"/>
  <c r="K29" i="9"/>
  <c r="K31" i="9" s="1"/>
  <c r="L29" i="9"/>
  <c r="L15" i="7"/>
  <c r="M15" i="7"/>
  <c r="D28" i="5"/>
  <c r="C28" i="5" s="1"/>
  <c r="N16" i="5"/>
  <c r="H28" i="5" s="1"/>
  <c r="N28" i="5" s="1"/>
  <c r="L16" i="5"/>
  <c r="I17" i="5"/>
  <c r="L26" i="5"/>
  <c r="K26" i="5"/>
  <c r="M16" i="5"/>
  <c r="F27" i="5"/>
  <c r="L25" i="5"/>
  <c r="K25" i="5"/>
  <c r="I28" i="3"/>
  <c r="H28" i="3" s="1"/>
  <c r="I17" i="3"/>
  <c r="L16" i="3"/>
  <c r="M17" i="3" s="1"/>
  <c r="O21" i="3"/>
  <c r="Q21" i="3"/>
  <c r="O23" i="3"/>
  <c r="Q23" i="3"/>
  <c r="O24" i="3"/>
  <c r="Q24" i="3"/>
  <c r="O22" i="3"/>
  <c r="N14" i="3"/>
  <c r="N26" i="3" s="1"/>
  <c r="R26" i="3" s="1"/>
  <c r="L31" i="9" l="1"/>
  <c r="F28" i="5"/>
  <c r="M17" i="5"/>
  <c r="L27" i="5"/>
  <c r="K27" i="5"/>
  <c r="D29" i="5"/>
  <c r="C29" i="5" s="1"/>
  <c r="C31" i="5" s="1"/>
  <c r="N17" i="5"/>
  <c r="H29" i="5" s="1"/>
  <c r="N29" i="5" s="1"/>
  <c r="N31" i="5" s="1"/>
  <c r="L17" i="5"/>
  <c r="F29" i="5" s="1"/>
  <c r="I29" i="3"/>
  <c r="H29" i="3" s="1"/>
  <c r="L17" i="3"/>
  <c r="L29" i="3" s="1"/>
  <c r="N17" i="3"/>
  <c r="N29" i="3" s="1"/>
  <c r="R29" i="3" s="1"/>
  <c r="N15" i="3"/>
  <c r="L26" i="3"/>
  <c r="C13" i="3"/>
  <c r="H13" i="3" l="1"/>
  <c r="I25" i="3"/>
  <c r="H25" i="3" s="1"/>
  <c r="H31" i="3"/>
  <c r="C32" i="5"/>
  <c r="L29" i="5"/>
  <c r="K29" i="5"/>
  <c r="L28" i="5"/>
  <c r="K28" i="5"/>
  <c r="O29" i="3"/>
  <c r="Q29" i="3"/>
  <c r="O26" i="3"/>
  <c r="Q26" i="3"/>
  <c r="N25" i="3"/>
  <c r="R25" i="3" s="1"/>
  <c r="L27" i="3"/>
  <c r="Q27" i="3" s="1"/>
  <c r="N16" i="3"/>
  <c r="F13" i="3"/>
  <c r="K31" i="5" l="1"/>
  <c r="L31" i="5"/>
  <c r="L25" i="3"/>
  <c r="H15" i="3"/>
  <c r="O25" i="3" l="1"/>
  <c r="Q25" i="3"/>
  <c r="N27" i="3"/>
  <c r="H16" i="3"/>
  <c r="F16" i="3"/>
  <c r="G17" i="3" s="1"/>
  <c r="O27" i="3" l="1"/>
  <c r="R27" i="3"/>
  <c r="L28" i="3"/>
  <c r="N28" i="3"/>
  <c r="R28" i="3" s="1"/>
  <c r="R31" i="3" s="1"/>
  <c r="O28" i="3" l="1"/>
  <c r="O31" i="3" s="1"/>
  <c r="Q28" i="3"/>
  <c r="Q31" i="3" l="1"/>
  <c r="Q33" i="3" s="1"/>
</calcChain>
</file>

<file path=xl/sharedStrings.xml><?xml version="1.0" encoding="utf-8"?>
<sst xmlns="http://schemas.openxmlformats.org/spreadsheetml/2006/main" count="140" uniqueCount="59">
  <si>
    <t>الأساسي</t>
  </si>
  <si>
    <t>علاوة السكن</t>
  </si>
  <si>
    <t>علاوة الدقم</t>
  </si>
  <si>
    <t xml:space="preserve"> 2019 درجة التعيين </t>
  </si>
  <si>
    <t>رواتب رؤساء اقسام تعيين جديد 2023</t>
  </si>
  <si>
    <t>المجموع</t>
  </si>
  <si>
    <t>عدد الأشهر</t>
  </si>
  <si>
    <t>السنة</t>
  </si>
  <si>
    <t>بعد تعديل الدرجة شهر يونيو 2023</t>
  </si>
  <si>
    <t>علاوة النقل</t>
  </si>
  <si>
    <t>الراتب الشامل</t>
  </si>
  <si>
    <t>مطلب أساسي</t>
  </si>
  <si>
    <t>بعد ارجاع  العلاوة الى 15%</t>
  </si>
  <si>
    <t>بعد تخفيض العلاوة الى 10.5%</t>
  </si>
  <si>
    <t>العلاوة</t>
  </si>
  <si>
    <t>الراتب</t>
  </si>
  <si>
    <t xml:space="preserve"> </t>
  </si>
  <si>
    <t>فارق الأساسي</t>
  </si>
  <si>
    <t>فارق العلاوات</t>
  </si>
  <si>
    <t>كشف تفصيلي لتوضيح أجر المدعي/ سيف بن هلال بن يحيى الاسماعيلي مقارنة بأجر رؤساء الأقسام</t>
  </si>
  <si>
    <t xml:space="preserve">أجر المدعي/ سيف الإسماعيلي منذ تاريخ التعيين عام 2019 </t>
  </si>
  <si>
    <t>رواتب رؤساء الأقسام (التعيين الجديد) 2023</t>
  </si>
  <si>
    <t>الدرجة المالية</t>
  </si>
  <si>
    <t>الخامسة (5)</t>
  </si>
  <si>
    <t>الرابعة (4.2)</t>
  </si>
  <si>
    <t> الأجور والعلاوات</t>
  </si>
  <si>
    <t>1/2023 – 5/2023</t>
  </si>
  <si>
    <t xml:space="preserve">قبل تعديل الدرجة المالية </t>
  </si>
  <si>
    <t>6-2023 – 12-2023</t>
  </si>
  <si>
    <t>بعد تعديل الدرجة المالية</t>
  </si>
  <si>
    <t> فارق الأجر الشامل (للشهر)</t>
  </si>
  <si>
    <t>فارق الأجر الشامل × عدد الأشهر</t>
  </si>
  <si>
    <t>فارق علاوة الدقم (للشهر)</t>
  </si>
  <si>
    <t>فارق علاوة الدقم × عدد الأشهر</t>
  </si>
  <si>
    <t>فارق الأجر</t>
  </si>
  <si>
    <t>إجمالي فارق الأجر</t>
  </si>
  <si>
    <t>70502 ر.ع</t>
  </si>
  <si>
    <t>فارق علاوة الدقم</t>
  </si>
  <si>
    <t xml:space="preserve">الإجمالي مع علاوة الدقم </t>
  </si>
  <si>
    <t>إجمالي فارق الاساسي والعلاوت الثابتة</t>
  </si>
  <si>
    <t>فارق العلاوات الثابتة</t>
  </si>
  <si>
    <t>فراق الاجر الشامل</t>
  </si>
  <si>
    <t>مضروب الأشهر بدون علاوة الدقم</t>
  </si>
  <si>
    <t xml:space="preserve">فارق الأجر الشامل بالسنة </t>
  </si>
  <si>
    <t>فارق علاوة الدقم بالسنة</t>
  </si>
  <si>
    <t>تعديل درجة مقداد للتوافق مع تقرير الخبير براتب اجمالي 2693 بسنة 2024</t>
  </si>
  <si>
    <t>سنة</t>
  </si>
  <si>
    <t>قرار التعيين براتب 2100 سنة 2018</t>
  </si>
  <si>
    <t xml:space="preserve">قرار تعيين رؤساء الأقسام بتفاصيل الراتب </t>
  </si>
  <si>
    <t>أساسي</t>
  </si>
  <si>
    <t>علالوة السكن</t>
  </si>
  <si>
    <t>الإجمالي</t>
  </si>
  <si>
    <t>السنة/ عدد الاشهر</t>
  </si>
  <si>
    <t>فارق الراتب الاساسي  شهريا</t>
  </si>
  <si>
    <t>فارق العلاوات الثابتة شهريا</t>
  </si>
  <si>
    <t>اجمالي الفارق</t>
  </si>
  <si>
    <t xml:space="preserve">فارق الأجور الإجمالية لعدد (70) شهرا </t>
  </si>
  <si>
    <t>21,192.363 ر.ع</t>
  </si>
  <si>
    <t>اجمالي الفارق الشهري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</si>
</sst>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71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5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" fontId="1" fillId="3" borderId="0" xfId="0" applyNumberFormat="1" applyFont="1" applyFill="1"/>
    <xf numFmtId="1" fontId="0" fillId="2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1" fontId="1" fillId="4" borderId="0" xfId="0" applyNumberFormat="1" applyFont="1" applyFill="1" applyAlignment="1">
      <alignment horizontal="center" vertical="center"/>
    </xf>
    <xf numFmtId="0" fontId="1" fillId="5" borderId="0" xfId="0" applyFont="1" applyFill="1"/>
    <xf numFmtId="1" fontId="1" fillId="5" borderId="0" xfId="0" applyNumberFormat="1" applyFont="1" applyFill="1"/>
    <xf numFmtId="1" fontId="1" fillId="0" borderId="0" xfId="0" applyNumberFormat="1" applyFont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right" vertical="center" readingOrder="2"/>
    </xf>
    <xf numFmtId="0" fontId="3" fillId="7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right" vertical="center"/>
    </xf>
    <xf numFmtId="0" fontId="4" fillId="7" borderId="6" xfId="0" applyFont="1" applyFill="1" applyBorder="1" applyAlignment="1">
      <alignment horizontal="center" vertical="center" readingOrder="2"/>
    </xf>
    <xf numFmtId="0" fontId="4" fillId="8" borderId="6" xfId="0" applyFont="1" applyFill="1" applyBorder="1" applyAlignment="1">
      <alignment horizontal="center" vertical="center" readingOrder="2"/>
    </xf>
    <xf numFmtId="0" fontId="3" fillId="6" borderId="7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right" vertical="center"/>
    </xf>
    <xf numFmtId="0" fontId="4" fillId="6" borderId="7" xfId="0" applyFont="1" applyFill="1" applyBorder="1" applyAlignment="1">
      <alignment horizontal="right" vertical="center"/>
    </xf>
    <xf numFmtId="0" fontId="4" fillId="8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right" vertical="center" readingOrder="2"/>
    </xf>
    <xf numFmtId="0" fontId="3" fillId="0" borderId="2" xfId="0" applyFont="1" applyBorder="1" applyAlignment="1">
      <alignment horizontal="right" vertical="center" readingOrder="2"/>
    </xf>
    <xf numFmtId="0" fontId="3" fillId="8" borderId="2" xfId="0" applyFont="1" applyFill="1" applyBorder="1" applyAlignment="1">
      <alignment horizontal="right" vertical="center" readingOrder="2"/>
    </xf>
    <xf numFmtId="0" fontId="3" fillId="8" borderId="2" xfId="0" applyFont="1" applyFill="1" applyBorder="1" applyAlignment="1">
      <alignment horizontal="right" vertical="center" wrapText="1" readingOrder="2"/>
    </xf>
    <xf numFmtId="0" fontId="3" fillId="9" borderId="2" xfId="0" applyFont="1" applyFill="1" applyBorder="1" applyAlignment="1">
      <alignment horizontal="right" vertical="center" readingOrder="2"/>
    </xf>
    <xf numFmtId="0" fontId="3" fillId="9" borderId="2" xfId="0" applyFont="1" applyFill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10" borderId="6" xfId="0" applyFont="1" applyFill="1" applyBorder="1" applyAlignment="1">
      <alignment horizontal="center" vertical="center" readingOrder="2"/>
    </xf>
    <xf numFmtId="0" fontId="3" fillId="10" borderId="6" xfId="0" applyFont="1" applyFill="1" applyBorder="1" applyAlignment="1">
      <alignment horizontal="center" vertical="center" wrapText="1" readingOrder="2"/>
    </xf>
    <xf numFmtId="0" fontId="3" fillId="11" borderId="6" xfId="0" applyFont="1" applyFill="1" applyBorder="1" applyAlignment="1">
      <alignment horizontal="center" vertical="center" readingOrder="2"/>
    </xf>
    <xf numFmtId="0" fontId="3" fillId="11" borderId="6" xfId="0" applyFont="1" applyFill="1" applyBorder="1" applyAlignment="1">
      <alignment horizontal="center" vertical="center" wrapText="1" readingOrder="2"/>
    </xf>
    <xf numFmtId="0" fontId="3" fillId="12" borderId="6" xfId="0" applyFont="1" applyFill="1" applyBorder="1" applyAlignment="1">
      <alignment horizontal="center" vertical="center" readingOrder="2"/>
    </xf>
    <xf numFmtId="0" fontId="0" fillId="0" borderId="0" xfId="0" applyAlignment="1">
      <alignment vertical="center"/>
    </xf>
    <xf numFmtId="165" fontId="0" fillId="0" borderId="0" xfId="1" applyNumberFormat="1" applyFont="1"/>
    <xf numFmtId="164" fontId="1" fillId="3" borderId="0" xfId="1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5" fontId="1" fillId="3" borderId="0" xfId="1" applyNumberFormat="1" applyFont="1" applyFill="1"/>
    <xf numFmtId="1" fontId="1" fillId="4" borderId="0" xfId="0" applyNumberFormat="1" applyFont="1" applyFill="1" applyAlignment="1">
      <alignment horizontal="center"/>
    </xf>
    <xf numFmtId="1" fontId="1" fillId="1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7" borderId="2" xfId="0" applyFont="1" applyFill="1" applyBorder="1" applyAlignment="1">
      <alignment horizontal="center" vertical="center" wrapText="1" readingOrder="2"/>
    </xf>
    <xf numFmtId="0" fontId="3" fillId="7" borderId="3" xfId="0" applyFont="1" applyFill="1" applyBorder="1" applyAlignment="1">
      <alignment horizontal="center" vertical="center" wrapText="1" readingOrder="2"/>
    </xf>
    <xf numFmtId="0" fontId="3" fillId="7" borderId="4" xfId="0" applyFont="1" applyFill="1" applyBorder="1" applyAlignment="1">
      <alignment horizontal="center" vertical="center" wrapText="1" readingOrder="2"/>
    </xf>
    <xf numFmtId="0" fontId="3" fillId="8" borderId="2" xfId="0" applyFont="1" applyFill="1" applyBorder="1" applyAlignment="1">
      <alignment horizontal="center" vertical="center" wrapText="1" readingOrder="2"/>
    </xf>
    <xf numFmtId="0" fontId="3" fillId="8" borderId="3" xfId="0" applyFont="1" applyFill="1" applyBorder="1" applyAlignment="1">
      <alignment horizontal="center" vertical="center" wrapText="1" readingOrder="2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readingOrder="2"/>
    </xf>
    <xf numFmtId="0" fontId="3" fillId="12" borderId="3" xfId="0" applyFont="1" applyFill="1" applyBorder="1" applyAlignment="1">
      <alignment horizontal="center" vertical="center" readingOrder="2"/>
    </xf>
    <xf numFmtId="0" fontId="3" fillId="12" borderId="4" xfId="0" applyFont="1" applyFill="1" applyBorder="1" applyAlignment="1">
      <alignment horizontal="center" vertical="center" readingOrder="2"/>
    </xf>
    <xf numFmtId="0" fontId="3" fillId="8" borderId="8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71" fontId="0" fillId="0" borderId="0" xfId="0" applyNumberFormat="1"/>
    <xf numFmtId="9" fontId="0" fillId="0" borderId="0" xfId="0" applyNumberFormat="1"/>
    <xf numFmtId="171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43CD-3412-4838-8373-F034058F9439}">
  <dimension ref="A3:X35"/>
  <sheetViews>
    <sheetView rightToLeft="1" workbookViewId="0">
      <selection activeCell="O17" sqref="O17"/>
    </sheetView>
  </sheetViews>
  <sheetFormatPr defaultRowHeight="14.75" x14ac:dyDescent="0.75"/>
  <cols>
    <col min="1" max="1" width="25.86328125" bestFit="1" customWidth="1"/>
    <col min="2" max="3" width="10.54296875" bestFit="1" customWidth="1"/>
    <col min="4" max="5" width="9.54296875" bestFit="1" customWidth="1"/>
    <col min="6" max="6" width="9.7265625" customWidth="1"/>
    <col min="7" max="7" width="9.7265625" hidden="1" customWidth="1"/>
    <col min="8" max="8" width="14.1328125" customWidth="1"/>
    <col min="9" max="9" width="10" customWidth="1"/>
    <col min="10" max="10" width="9.86328125" bestFit="1" customWidth="1"/>
    <col min="11" max="11" width="9.54296875" bestFit="1" customWidth="1"/>
    <col min="12" max="12" width="10.54296875" bestFit="1" customWidth="1"/>
    <col min="13" max="13" width="9.7265625" hidden="1" customWidth="1"/>
    <col min="14" max="14" width="14.1328125" bestFit="1" customWidth="1"/>
    <col min="15" max="15" width="11.40625" bestFit="1" customWidth="1"/>
    <col min="17" max="17" width="14" bestFit="1" customWidth="1"/>
    <col min="18" max="18" width="12.7265625" bestFit="1" customWidth="1"/>
    <col min="19" max="19" width="14.1328125" bestFit="1" customWidth="1"/>
    <col min="21" max="21" width="10.26953125" bestFit="1" customWidth="1"/>
    <col min="25" max="25" width="12.26953125" bestFit="1" customWidth="1"/>
  </cols>
  <sheetData>
    <row r="3" spans="1:24" x14ac:dyDescent="0.75">
      <c r="I3" s="61" t="s">
        <v>11</v>
      </c>
      <c r="J3" s="61"/>
      <c r="K3" s="61"/>
      <c r="L3" s="61"/>
      <c r="M3" s="61"/>
      <c r="N3" s="61"/>
    </row>
    <row r="4" spans="1:24" x14ac:dyDescent="0.75">
      <c r="I4" s="61"/>
      <c r="J4" s="61"/>
      <c r="K4" s="61"/>
      <c r="L4" s="61"/>
      <c r="M4" s="61"/>
      <c r="N4" s="61"/>
    </row>
    <row r="5" spans="1:24" x14ac:dyDescent="0.75">
      <c r="B5" s="14"/>
      <c r="C5" s="60" t="s">
        <v>3</v>
      </c>
      <c r="D5" s="60"/>
      <c r="E5" s="60"/>
      <c r="F5" s="60"/>
      <c r="G5" s="60"/>
      <c r="H5" s="60"/>
      <c r="I5" s="59" t="s">
        <v>4</v>
      </c>
      <c r="J5" s="59"/>
      <c r="K5" s="59"/>
      <c r="L5" s="59"/>
      <c r="M5" s="59"/>
      <c r="N5" s="59"/>
      <c r="T5" t="s">
        <v>48</v>
      </c>
      <c r="V5" s="2"/>
      <c r="W5" s="2"/>
      <c r="X5" s="2"/>
    </row>
    <row r="6" spans="1:24" x14ac:dyDescent="0.75">
      <c r="B6" s="14"/>
      <c r="C6" s="5">
        <v>5</v>
      </c>
      <c r="D6" s="4"/>
      <c r="E6" s="4"/>
      <c r="F6" s="4"/>
      <c r="G6" s="4"/>
      <c r="H6" s="4"/>
      <c r="I6" s="7">
        <v>4.2</v>
      </c>
      <c r="J6" s="7"/>
      <c r="K6" s="7"/>
      <c r="L6" s="7"/>
      <c r="M6" s="7"/>
      <c r="N6" s="7"/>
      <c r="V6" s="1">
        <v>2678</v>
      </c>
      <c r="W6" s="1">
        <f>(V11*0.03)+V8</f>
        <v>2078</v>
      </c>
      <c r="X6" s="1"/>
    </row>
    <row r="7" spans="1:24" x14ac:dyDescent="0.75">
      <c r="B7" s="14"/>
      <c r="C7" s="5" t="s">
        <v>0</v>
      </c>
      <c r="D7" s="4" t="s">
        <v>1</v>
      </c>
      <c r="E7" s="4" t="s">
        <v>9</v>
      </c>
      <c r="F7" s="4" t="s">
        <v>10</v>
      </c>
      <c r="G7" s="4"/>
      <c r="H7" s="4" t="s">
        <v>2</v>
      </c>
      <c r="I7" s="8" t="s">
        <v>0</v>
      </c>
      <c r="J7" s="7" t="s">
        <v>1</v>
      </c>
      <c r="K7" s="7" t="s">
        <v>9</v>
      </c>
      <c r="L7" s="7" t="s">
        <v>10</v>
      </c>
      <c r="M7" s="7"/>
      <c r="N7" s="7" t="s">
        <v>2</v>
      </c>
      <c r="V7" s="1"/>
      <c r="W7" s="1"/>
      <c r="X7" s="1"/>
    </row>
    <row r="8" spans="1:24" x14ac:dyDescent="0.75">
      <c r="B8" s="15">
        <v>2019</v>
      </c>
      <c r="C8" s="6">
        <v>1325</v>
      </c>
      <c r="D8" s="6">
        <v>250</v>
      </c>
      <c r="E8" s="6">
        <v>165</v>
      </c>
      <c r="F8" s="6">
        <f>SUM(C8:E8)</f>
        <v>1740</v>
      </c>
      <c r="G8" s="6"/>
      <c r="H8" s="6">
        <f>C8*0.15</f>
        <v>198.75</v>
      </c>
      <c r="I8" s="11">
        <v>1500</v>
      </c>
      <c r="J8" s="11">
        <v>400</v>
      </c>
      <c r="K8" s="11">
        <v>200</v>
      </c>
      <c r="L8" s="11">
        <f>SUM(I8:K8)</f>
        <v>2100</v>
      </c>
      <c r="M8" s="11"/>
      <c r="N8" s="11">
        <f>I8*0.15</f>
        <v>225</v>
      </c>
      <c r="O8" s="3">
        <f>L8-F8</f>
        <v>360</v>
      </c>
      <c r="Q8" s="1"/>
      <c r="R8" s="1"/>
      <c r="S8" s="1"/>
      <c r="U8" s="56" t="s">
        <v>49</v>
      </c>
      <c r="V8" s="57">
        <v>2000</v>
      </c>
      <c r="W8" s="1"/>
      <c r="X8" s="1"/>
    </row>
    <row r="9" spans="1:24" x14ac:dyDescent="0.75">
      <c r="B9" s="15">
        <v>2020</v>
      </c>
      <c r="C9" s="10">
        <f>SUM(C8:E8)*1.03-SUM(D9:E9)</f>
        <v>1377.2</v>
      </c>
      <c r="D9" s="6">
        <v>250</v>
      </c>
      <c r="E9" s="6">
        <v>165</v>
      </c>
      <c r="F9" s="6">
        <f t="shared" ref="F9:F17" si="0">SUM(C9:E9)</f>
        <v>1792.2</v>
      </c>
      <c r="G9" s="6">
        <f>F8*1.03</f>
        <v>1792.2</v>
      </c>
      <c r="H9" s="6">
        <f t="shared" ref="H9:H17" si="1">C9*0.15</f>
        <v>206.58</v>
      </c>
      <c r="I9" s="12">
        <f>SUM(I8:K8)*1.03-SUM(J9:K9)</f>
        <v>1563</v>
      </c>
      <c r="J9" s="11">
        <v>400</v>
      </c>
      <c r="K9" s="11">
        <v>200</v>
      </c>
      <c r="L9" s="11">
        <f t="shared" ref="L9:L13" si="2">SUM(I9:K9)</f>
        <v>2163</v>
      </c>
      <c r="M9" s="11">
        <f>L8*1.03</f>
        <v>2163</v>
      </c>
      <c r="N9" s="11">
        <f>I9*0.15</f>
        <v>234.45</v>
      </c>
      <c r="O9" s="3">
        <f t="shared" ref="O9:O17" si="3">L9-F9</f>
        <v>370.79999999999995</v>
      </c>
      <c r="Q9" s="1"/>
      <c r="R9" s="1"/>
      <c r="S9" s="1"/>
      <c r="U9" s="56" t="s">
        <v>50</v>
      </c>
      <c r="V9" s="57">
        <v>400</v>
      </c>
      <c r="W9" s="1"/>
      <c r="X9" s="1"/>
    </row>
    <row r="10" spans="1:24" x14ac:dyDescent="0.75">
      <c r="B10" s="15">
        <v>2021</v>
      </c>
      <c r="C10" s="10">
        <f>SUM(C9:E9)*1.015-SUM(D10:E10)</f>
        <v>1404.0829999999999</v>
      </c>
      <c r="D10" s="6">
        <v>250</v>
      </c>
      <c r="E10" s="6">
        <v>165</v>
      </c>
      <c r="F10" s="6">
        <f t="shared" si="0"/>
        <v>1819.0829999999999</v>
      </c>
      <c r="G10" s="6">
        <f>F9*1.03</f>
        <v>1845.9660000000001</v>
      </c>
      <c r="H10" s="6">
        <f t="shared" si="1"/>
        <v>210.61244999999997</v>
      </c>
      <c r="I10" s="12">
        <f>SUM(I9:K9)*1.015-SUM(J10:K10)</f>
        <v>1595.4449999999997</v>
      </c>
      <c r="J10" s="11">
        <v>400</v>
      </c>
      <c r="K10" s="11">
        <v>200</v>
      </c>
      <c r="L10" s="11">
        <f t="shared" si="2"/>
        <v>2195.4449999999997</v>
      </c>
      <c r="M10" s="11">
        <f>L9*1.03</f>
        <v>2227.89</v>
      </c>
      <c r="N10" s="11">
        <f t="shared" ref="N10:N17" si="4">I10*0.15</f>
        <v>239.31674999999996</v>
      </c>
      <c r="O10" s="3">
        <f t="shared" si="3"/>
        <v>376.36199999999985</v>
      </c>
      <c r="Q10" s="1"/>
      <c r="R10" s="1"/>
      <c r="S10" s="1"/>
      <c r="U10" s="56" t="s">
        <v>9</v>
      </c>
      <c r="V10" s="57">
        <v>200</v>
      </c>
      <c r="W10" s="1"/>
      <c r="X10" s="1"/>
    </row>
    <row r="11" spans="1:24" x14ac:dyDescent="0.75">
      <c r="A11" t="s">
        <v>13</v>
      </c>
      <c r="B11" s="15">
        <v>2021</v>
      </c>
      <c r="C11" s="10">
        <f>C10</f>
        <v>1404.0829999999999</v>
      </c>
      <c r="D11" s="10">
        <f t="shared" ref="D11:E11" si="5">D10</f>
        <v>250</v>
      </c>
      <c r="E11" s="10">
        <f t="shared" si="5"/>
        <v>165</v>
      </c>
      <c r="F11" s="6">
        <f t="shared" si="0"/>
        <v>1819.0829999999999</v>
      </c>
      <c r="G11" s="6"/>
      <c r="H11" s="6">
        <f>C11*0.105</f>
        <v>147.42871499999998</v>
      </c>
      <c r="I11" s="12">
        <f>I10</f>
        <v>1595.4449999999997</v>
      </c>
      <c r="J11" s="11">
        <v>400</v>
      </c>
      <c r="K11" s="11">
        <v>200</v>
      </c>
      <c r="L11" s="11">
        <f>L10</f>
        <v>2195.4449999999997</v>
      </c>
      <c r="M11" s="11"/>
      <c r="N11" s="11">
        <f>I11*0.105</f>
        <v>167.52172499999998</v>
      </c>
      <c r="O11" s="3">
        <f t="shared" si="3"/>
        <v>376.36199999999985</v>
      </c>
      <c r="Q11" s="1"/>
      <c r="R11" s="1"/>
      <c r="S11" s="1"/>
      <c r="U11" s="56" t="s">
        <v>51</v>
      </c>
      <c r="V11" s="58">
        <f>SUM(V8:V10)</f>
        <v>2600</v>
      </c>
      <c r="W11" s="1"/>
      <c r="X11" s="1"/>
    </row>
    <row r="12" spans="1:24" x14ac:dyDescent="0.75">
      <c r="B12" s="15">
        <v>2022</v>
      </c>
      <c r="C12" s="10">
        <f>SUM(C10:E10)*1.03-SUM(D12:E12)</f>
        <v>1458.6554899999999</v>
      </c>
      <c r="D12" s="6">
        <v>250</v>
      </c>
      <c r="E12" s="6">
        <v>165</v>
      </c>
      <c r="F12" s="6">
        <f t="shared" si="0"/>
        <v>1873.6554899999999</v>
      </c>
      <c r="G12" s="6">
        <f>F10*1.03</f>
        <v>1873.6554899999999</v>
      </c>
      <c r="H12" s="6">
        <f>C12*0.105</f>
        <v>153.15882644999999</v>
      </c>
      <c r="I12" s="12">
        <f>SUM(I10:K10)*1.03-SUM(J12:K12)</f>
        <v>1661.3083499999998</v>
      </c>
      <c r="J12" s="11">
        <v>400</v>
      </c>
      <c r="K12" s="11">
        <v>200</v>
      </c>
      <c r="L12" s="11">
        <f t="shared" si="2"/>
        <v>2261.3083499999998</v>
      </c>
      <c r="M12" s="11">
        <f>L10*1.03</f>
        <v>2261.3083499999998</v>
      </c>
      <c r="N12" s="11">
        <f>I12*0.105</f>
        <v>174.43737674999997</v>
      </c>
      <c r="O12" s="3">
        <f t="shared" si="3"/>
        <v>387.65285999999992</v>
      </c>
      <c r="Q12" s="1"/>
      <c r="R12" s="1"/>
      <c r="S12" s="1"/>
      <c r="V12" s="1"/>
      <c r="W12" s="1"/>
      <c r="X12" s="1"/>
    </row>
    <row r="13" spans="1:24" x14ac:dyDescent="0.75">
      <c r="B13" s="15">
        <v>2023</v>
      </c>
      <c r="C13" s="10">
        <f>SUM(C12:E12)*1.03-SUM(D13:E13)</f>
        <v>1514.8651546999999</v>
      </c>
      <c r="D13" s="6">
        <v>250</v>
      </c>
      <c r="E13" s="6">
        <v>165</v>
      </c>
      <c r="F13" s="6">
        <f t="shared" si="0"/>
        <v>1929.8651546999999</v>
      </c>
      <c r="G13" s="6">
        <f>F12*1.03</f>
        <v>1929.8651546999999</v>
      </c>
      <c r="H13" s="6">
        <f>C13*0.105</f>
        <v>159.06084124349999</v>
      </c>
      <c r="I13" s="12">
        <f>SUM(I12:K12)*1.03-SUM(J13:K13)</f>
        <v>1729.1476005</v>
      </c>
      <c r="J13" s="11">
        <v>400</v>
      </c>
      <c r="K13" s="11">
        <v>200</v>
      </c>
      <c r="L13" s="11">
        <f t="shared" si="2"/>
        <v>2329.1476005</v>
      </c>
      <c r="M13" s="11">
        <f>L12*1.03</f>
        <v>2329.1476005</v>
      </c>
      <c r="N13" s="11">
        <f>I13*0.105</f>
        <v>181.56049805249998</v>
      </c>
      <c r="O13" s="3">
        <f t="shared" si="3"/>
        <v>399.2824458</v>
      </c>
      <c r="Q13" s="1"/>
      <c r="R13" s="1"/>
      <c r="S13" s="1"/>
      <c r="V13" s="1"/>
      <c r="W13" s="1" t="s">
        <v>16</v>
      </c>
      <c r="X13" s="1"/>
    </row>
    <row r="14" spans="1:24" x14ac:dyDescent="0.75">
      <c r="A14" t="s">
        <v>8</v>
      </c>
      <c r="B14" s="15">
        <v>2023</v>
      </c>
      <c r="C14" s="10">
        <v>1700</v>
      </c>
      <c r="D14" s="6">
        <v>400</v>
      </c>
      <c r="E14" s="6">
        <v>200</v>
      </c>
      <c r="F14" s="6">
        <f t="shared" si="0"/>
        <v>2300</v>
      </c>
      <c r="G14" s="6">
        <v>2300</v>
      </c>
      <c r="H14" s="6">
        <f>C14*0.105</f>
        <v>178.5</v>
      </c>
      <c r="I14" s="12">
        <f>I13</f>
        <v>1729.1476005</v>
      </c>
      <c r="J14" s="12">
        <f t="shared" ref="J14:K15" si="6">J13</f>
        <v>400</v>
      </c>
      <c r="K14" s="12">
        <f t="shared" si="6"/>
        <v>200</v>
      </c>
      <c r="L14" s="12">
        <f>L13</f>
        <v>2329.1476005</v>
      </c>
      <c r="M14" s="11"/>
      <c r="N14" s="11">
        <f>I14*0.105</f>
        <v>181.56049805249998</v>
      </c>
      <c r="O14" s="3">
        <f t="shared" si="3"/>
        <v>29.147600499999953</v>
      </c>
      <c r="Q14" s="1"/>
      <c r="R14" s="1"/>
      <c r="S14" s="1"/>
      <c r="V14" s="1"/>
      <c r="W14" s="1"/>
      <c r="X14" s="1"/>
    </row>
    <row r="15" spans="1:24" x14ac:dyDescent="0.75">
      <c r="A15" t="s">
        <v>12</v>
      </c>
      <c r="B15" s="15">
        <v>2023</v>
      </c>
      <c r="C15" s="10">
        <v>1700</v>
      </c>
      <c r="D15" s="6">
        <v>400</v>
      </c>
      <c r="E15" s="6">
        <v>200</v>
      </c>
      <c r="F15" s="6">
        <f t="shared" ref="F15" si="7">SUM(C15:E15)</f>
        <v>2300</v>
      </c>
      <c r="G15" s="6">
        <v>2300</v>
      </c>
      <c r="H15" s="6">
        <f t="shared" si="1"/>
        <v>255</v>
      </c>
      <c r="I15" s="12">
        <f>I13</f>
        <v>1729.1476005</v>
      </c>
      <c r="J15" s="12">
        <f t="shared" si="6"/>
        <v>400</v>
      </c>
      <c r="K15" s="12">
        <f t="shared" si="6"/>
        <v>200</v>
      </c>
      <c r="L15" s="12">
        <f>L13</f>
        <v>2329.1476005</v>
      </c>
      <c r="M15" s="11"/>
      <c r="N15" s="11">
        <f t="shared" si="4"/>
        <v>259.372140075</v>
      </c>
      <c r="O15" s="3">
        <f t="shared" si="3"/>
        <v>29.147600499999953</v>
      </c>
      <c r="Q15" s="1"/>
      <c r="R15" s="1"/>
      <c r="S15" s="1"/>
      <c r="V15" s="1"/>
      <c r="W15" s="1"/>
      <c r="X15" s="1"/>
    </row>
    <row r="16" spans="1:24" x14ac:dyDescent="0.75">
      <c r="B16" s="15">
        <v>2024</v>
      </c>
      <c r="C16" s="10">
        <f>SUM(C15:E15)*1.03-SUM(D15:E15)</f>
        <v>1769</v>
      </c>
      <c r="D16" s="10">
        <v>400</v>
      </c>
      <c r="E16" s="6">
        <v>200</v>
      </c>
      <c r="F16" s="6">
        <f t="shared" si="0"/>
        <v>2369</v>
      </c>
      <c r="G16" s="6">
        <f>F15*1.03</f>
        <v>2369</v>
      </c>
      <c r="H16" s="6">
        <f t="shared" si="1"/>
        <v>265.34999999999997</v>
      </c>
      <c r="I16" s="12">
        <f>SUM(I15:K15)*1.03-SUM(J16:K16)</f>
        <v>1799.0220285149999</v>
      </c>
      <c r="J16" s="11">
        <v>400</v>
      </c>
      <c r="K16" s="11">
        <v>200</v>
      </c>
      <c r="L16" s="11">
        <f>SUM(I16:K16)</f>
        <v>2399.0220285149999</v>
      </c>
      <c r="M16" s="11">
        <f>L15*1.03</f>
        <v>2399.0220285149999</v>
      </c>
      <c r="N16" s="11">
        <f t="shared" si="4"/>
        <v>269.85330427724995</v>
      </c>
      <c r="O16" s="3">
        <f t="shared" si="3"/>
        <v>30.022028514999874</v>
      </c>
      <c r="Q16" s="1"/>
      <c r="R16" s="1"/>
      <c r="S16" s="1"/>
    </row>
    <row r="17" spans="1:20" x14ac:dyDescent="0.75">
      <c r="B17" s="15">
        <v>2025</v>
      </c>
      <c r="C17" s="10">
        <f>SUM(C16:E16)*1.03-SUM(D16:E16)</f>
        <v>1840.0700000000002</v>
      </c>
      <c r="D17" s="10">
        <v>400</v>
      </c>
      <c r="E17" s="6">
        <v>200</v>
      </c>
      <c r="F17" s="6">
        <f t="shared" si="0"/>
        <v>2440.0700000000002</v>
      </c>
      <c r="G17" s="6">
        <f>F16*1.03</f>
        <v>2440.0700000000002</v>
      </c>
      <c r="H17" s="6">
        <f t="shared" si="1"/>
        <v>276.01050000000004</v>
      </c>
      <c r="I17" s="52">
        <f>SUM(I16:K16)*1.03-SUM(J17:K17)</f>
        <v>1870.9926893704501</v>
      </c>
      <c r="J17" s="13">
        <v>400</v>
      </c>
      <c r="K17" s="13">
        <v>200</v>
      </c>
      <c r="L17" s="13">
        <f>SUM(I17:K17)</f>
        <v>2470.9926893704501</v>
      </c>
      <c r="M17" s="11">
        <f>L16*1.03</f>
        <v>2470.9926893704501</v>
      </c>
      <c r="N17" s="11">
        <f t="shared" si="4"/>
        <v>280.64890340556752</v>
      </c>
      <c r="O17" s="3">
        <f t="shared" si="3"/>
        <v>30.922689370449916</v>
      </c>
      <c r="T17" s="3"/>
    </row>
    <row r="18" spans="1:20" x14ac:dyDescent="0.75">
      <c r="L18" s="61"/>
      <c r="M18" s="61"/>
    </row>
    <row r="19" spans="1:20" ht="42" customHeight="1" x14ac:dyDescent="0.75">
      <c r="A19" s="50" t="s">
        <v>6</v>
      </c>
      <c r="B19" s="50" t="s">
        <v>7</v>
      </c>
      <c r="C19" s="2" t="s">
        <v>42</v>
      </c>
      <c r="D19" s="50" t="s">
        <v>17</v>
      </c>
      <c r="E19" s="50" t="s">
        <v>40</v>
      </c>
      <c r="F19" s="50" t="s">
        <v>41</v>
      </c>
      <c r="G19" s="50"/>
      <c r="H19" s="50" t="s">
        <v>37</v>
      </c>
      <c r="I19" s="50"/>
      <c r="J19" s="50"/>
      <c r="K19" s="50" t="s">
        <v>5</v>
      </c>
      <c r="L19" s="50" t="s">
        <v>43</v>
      </c>
      <c r="M19" s="50"/>
      <c r="N19" s="50" t="s">
        <v>44</v>
      </c>
    </row>
    <row r="20" spans="1:20" x14ac:dyDescent="0.75">
      <c r="A20">
        <v>8</v>
      </c>
      <c r="B20" s="3">
        <v>2019</v>
      </c>
      <c r="C20" s="20">
        <f t="shared" ref="C20:C29" si="8">(D20+E20)*A20</f>
        <v>2880</v>
      </c>
      <c r="D20" s="3">
        <f t="shared" ref="D20:D29" si="9">I8-C8</f>
        <v>175</v>
      </c>
      <c r="E20" s="3">
        <f t="shared" ref="E20:E29" si="10">SUM(J8:K8)-SUM(D8:E8)</f>
        <v>185</v>
      </c>
      <c r="F20" s="3">
        <f t="shared" ref="F20:F29" si="11">L8-F8</f>
        <v>360</v>
      </c>
      <c r="H20" s="3">
        <f t="shared" ref="H20:H29" si="12">N8-H8</f>
        <v>26.25</v>
      </c>
      <c r="K20" s="47">
        <f t="shared" ref="K20:K29" si="13">(F20+H20)*A20</f>
        <v>3090</v>
      </c>
      <c r="L20" s="47">
        <f t="shared" ref="L20:L29" si="14">F20*A20</f>
        <v>2880</v>
      </c>
      <c r="N20" s="47">
        <f t="shared" ref="N20:N29" si="15">H20*A20</f>
        <v>210</v>
      </c>
    </row>
    <row r="21" spans="1:20" x14ac:dyDescent="0.75">
      <c r="A21">
        <v>12</v>
      </c>
      <c r="B21" s="3">
        <v>2020</v>
      </c>
      <c r="C21" s="20">
        <f t="shared" si="8"/>
        <v>4449.5999999999995</v>
      </c>
      <c r="D21" s="3">
        <f t="shared" si="9"/>
        <v>185.79999999999995</v>
      </c>
      <c r="E21" s="3">
        <f t="shared" si="10"/>
        <v>185</v>
      </c>
      <c r="F21" s="3">
        <f t="shared" si="11"/>
        <v>370.79999999999995</v>
      </c>
      <c r="H21" s="3">
        <f t="shared" si="12"/>
        <v>27.869999999999976</v>
      </c>
      <c r="K21" s="47">
        <f t="shared" si="13"/>
        <v>4784.0399999999991</v>
      </c>
      <c r="L21" s="47">
        <f t="shared" si="14"/>
        <v>4449.5999999999995</v>
      </c>
      <c r="N21" s="47">
        <f t="shared" si="15"/>
        <v>334.43999999999971</v>
      </c>
    </row>
    <row r="22" spans="1:20" x14ac:dyDescent="0.75">
      <c r="A22">
        <v>9</v>
      </c>
      <c r="B22" s="3">
        <v>2021</v>
      </c>
      <c r="C22" s="20">
        <f t="shared" si="8"/>
        <v>3387.2579999999989</v>
      </c>
      <c r="D22" s="3">
        <f t="shared" si="9"/>
        <v>191.36199999999985</v>
      </c>
      <c r="E22" s="3">
        <f t="shared" si="10"/>
        <v>185</v>
      </c>
      <c r="F22" s="3">
        <f t="shared" si="11"/>
        <v>376.36199999999985</v>
      </c>
      <c r="H22" s="3">
        <f t="shared" si="12"/>
        <v>28.704299999999989</v>
      </c>
      <c r="K22" s="47">
        <f t="shared" si="13"/>
        <v>3645.5966999999987</v>
      </c>
      <c r="L22" s="47">
        <f t="shared" si="14"/>
        <v>3387.2579999999989</v>
      </c>
      <c r="N22" s="47">
        <f t="shared" si="15"/>
        <v>258.3386999999999</v>
      </c>
    </row>
    <row r="23" spans="1:20" x14ac:dyDescent="0.75">
      <c r="A23">
        <v>3</v>
      </c>
      <c r="B23" s="3">
        <v>2021</v>
      </c>
      <c r="C23" s="20">
        <f t="shared" si="8"/>
        <v>1129.0859999999996</v>
      </c>
      <c r="D23" s="3">
        <f t="shared" si="9"/>
        <v>191.36199999999985</v>
      </c>
      <c r="E23" s="3">
        <f t="shared" si="10"/>
        <v>185</v>
      </c>
      <c r="F23" s="3">
        <f t="shared" si="11"/>
        <v>376.36199999999985</v>
      </c>
      <c r="H23" s="3">
        <f t="shared" si="12"/>
        <v>20.093009999999992</v>
      </c>
      <c r="K23" s="47">
        <f t="shared" si="13"/>
        <v>1189.3650299999995</v>
      </c>
      <c r="L23" s="47">
        <f t="shared" si="14"/>
        <v>1129.0859999999996</v>
      </c>
      <c r="N23" s="47">
        <f t="shared" si="15"/>
        <v>60.279029999999977</v>
      </c>
    </row>
    <row r="24" spans="1:20" x14ac:dyDescent="0.75">
      <c r="A24">
        <v>12</v>
      </c>
      <c r="B24" s="3">
        <v>2022</v>
      </c>
      <c r="C24" s="20">
        <f t="shared" si="8"/>
        <v>4651.834319999999</v>
      </c>
      <c r="D24" s="3">
        <f t="shared" si="9"/>
        <v>202.65285999999992</v>
      </c>
      <c r="E24" s="3">
        <f t="shared" si="10"/>
        <v>185</v>
      </c>
      <c r="F24" s="3">
        <f t="shared" si="11"/>
        <v>387.65285999999992</v>
      </c>
      <c r="H24" s="3">
        <f t="shared" si="12"/>
        <v>21.278550299999978</v>
      </c>
      <c r="K24" s="47">
        <f t="shared" si="13"/>
        <v>4907.1769235999991</v>
      </c>
      <c r="L24" s="47">
        <f t="shared" si="14"/>
        <v>4651.834319999999</v>
      </c>
      <c r="N24" s="47">
        <f t="shared" si="15"/>
        <v>255.34260359999973</v>
      </c>
    </row>
    <row r="25" spans="1:20" x14ac:dyDescent="0.75">
      <c r="A25">
        <v>5</v>
      </c>
      <c r="B25" s="3">
        <v>2023</v>
      </c>
      <c r="C25" s="20">
        <f t="shared" si="8"/>
        <v>1996.412229</v>
      </c>
      <c r="D25" s="3">
        <f t="shared" si="9"/>
        <v>214.2824458</v>
      </c>
      <c r="E25" s="3">
        <f t="shared" si="10"/>
        <v>185</v>
      </c>
      <c r="F25" s="3">
        <f t="shared" si="11"/>
        <v>399.2824458</v>
      </c>
      <c r="H25" s="3">
        <f t="shared" si="12"/>
        <v>22.499656808999987</v>
      </c>
      <c r="K25" s="47">
        <f t="shared" si="13"/>
        <v>2108.9105130449998</v>
      </c>
      <c r="L25" s="47">
        <f t="shared" si="14"/>
        <v>1996.412229</v>
      </c>
      <c r="N25" s="47">
        <f t="shared" si="15"/>
        <v>112.49828404499993</v>
      </c>
    </row>
    <row r="26" spans="1:20" x14ac:dyDescent="0.75">
      <c r="A26">
        <v>4</v>
      </c>
      <c r="B26" s="3">
        <v>2023</v>
      </c>
      <c r="C26" s="20">
        <f t="shared" si="8"/>
        <v>116.59040199999981</v>
      </c>
      <c r="D26" s="3">
        <f t="shared" si="9"/>
        <v>29.147600499999953</v>
      </c>
      <c r="E26" s="3">
        <f t="shared" si="10"/>
        <v>0</v>
      </c>
      <c r="F26" s="3">
        <f t="shared" si="11"/>
        <v>29.147600499999953</v>
      </c>
      <c r="H26" s="3">
        <f t="shared" si="12"/>
        <v>3.0604980524999803</v>
      </c>
      <c r="K26" s="47">
        <f t="shared" si="13"/>
        <v>128.83239420999973</v>
      </c>
      <c r="L26" s="47">
        <f t="shared" si="14"/>
        <v>116.59040199999981</v>
      </c>
      <c r="N26" s="47">
        <f t="shared" si="15"/>
        <v>12.241992209999921</v>
      </c>
    </row>
    <row r="27" spans="1:20" x14ac:dyDescent="0.75">
      <c r="A27">
        <v>3</v>
      </c>
      <c r="B27" s="3">
        <v>2023</v>
      </c>
      <c r="C27" s="20">
        <f t="shared" si="8"/>
        <v>87.44280149999986</v>
      </c>
      <c r="D27" s="3">
        <f t="shared" si="9"/>
        <v>29.147600499999953</v>
      </c>
      <c r="E27" s="3">
        <f t="shared" si="10"/>
        <v>0</v>
      </c>
      <c r="F27" s="3">
        <f t="shared" si="11"/>
        <v>29.147600499999953</v>
      </c>
      <c r="H27" s="3">
        <f t="shared" si="12"/>
        <v>4.3721400750000043</v>
      </c>
      <c r="K27" s="47">
        <f t="shared" si="13"/>
        <v>100.55922172499987</v>
      </c>
      <c r="L27" s="47">
        <f t="shared" si="14"/>
        <v>87.44280149999986</v>
      </c>
      <c r="N27" s="47">
        <f t="shared" si="15"/>
        <v>13.116420225000013</v>
      </c>
    </row>
    <row r="28" spans="1:20" x14ac:dyDescent="0.75">
      <c r="A28">
        <v>12</v>
      </c>
      <c r="B28" s="3">
        <v>2024</v>
      </c>
      <c r="C28" s="20">
        <f t="shared" si="8"/>
        <v>360.26434217999849</v>
      </c>
      <c r="D28" s="3">
        <f t="shared" si="9"/>
        <v>30.022028514999874</v>
      </c>
      <c r="E28" s="3">
        <f t="shared" si="10"/>
        <v>0</v>
      </c>
      <c r="F28" s="3">
        <f t="shared" si="11"/>
        <v>30.022028514999874</v>
      </c>
      <c r="H28" s="3">
        <f t="shared" si="12"/>
        <v>4.5033042772499812</v>
      </c>
      <c r="K28" s="47">
        <f t="shared" si="13"/>
        <v>414.30399350699827</v>
      </c>
      <c r="L28" s="47">
        <f t="shared" si="14"/>
        <v>360.26434217999849</v>
      </c>
      <c r="N28" s="47">
        <f t="shared" si="15"/>
        <v>54.039651326999774</v>
      </c>
    </row>
    <row r="29" spans="1:20" x14ac:dyDescent="0.75">
      <c r="A29">
        <v>4</v>
      </c>
      <c r="B29" s="3">
        <v>2025</v>
      </c>
      <c r="C29" s="20">
        <f t="shared" si="8"/>
        <v>123.69075748179966</v>
      </c>
      <c r="D29" s="3">
        <f t="shared" si="9"/>
        <v>30.922689370449916</v>
      </c>
      <c r="E29" s="3">
        <f t="shared" si="10"/>
        <v>0</v>
      </c>
      <c r="F29" s="3">
        <f t="shared" si="11"/>
        <v>30.922689370449916</v>
      </c>
      <c r="H29" s="3">
        <f t="shared" si="12"/>
        <v>4.6384034055674874</v>
      </c>
      <c r="K29" s="47">
        <f t="shared" si="13"/>
        <v>142.24437110406961</v>
      </c>
      <c r="L29" s="47">
        <f t="shared" si="14"/>
        <v>123.69075748179966</v>
      </c>
      <c r="N29" s="47">
        <f t="shared" si="15"/>
        <v>18.55361362226995</v>
      </c>
    </row>
    <row r="31" spans="1:20" x14ac:dyDescent="0.75">
      <c r="B31" s="49" t="s">
        <v>39</v>
      </c>
      <c r="C31" s="51">
        <f>SUM(C20:C29)</f>
        <v>19182.1788521618</v>
      </c>
      <c r="I31" s="3"/>
      <c r="K31" s="48">
        <f>SUM(K20:K29)</f>
        <v>20511.029147191064</v>
      </c>
      <c r="L31" s="47">
        <f>SUM(L20:L29)</f>
        <v>19182.1788521618</v>
      </c>
      <c r="N31" s="47">
        <f>SUM(N20:N29)</f>
        <v>1328.8502950292689</v>
      </c>
    </row>
    <row r="32" spans="1:20" x14ac:dyDescent="0.75">
      <c r="B32" s="49" t="s">
        <v>38</v>
      </c>
      <c r="C32" s="47">
        <f>C31+N31</f>
        <v>20511.029147191068</v>
      </c>
      <c r="I32" s="3"/>
    </row>
    <row r="33" spans="9:15" x14ac:dyDescent="0.75">
      <c r="I33" s="3"/>
      <c r="N33" s="3"/>
      <c r="O33" s="3"/>
    </row>
    <row r="34" spans="9:15" x14ac:dyDescent="0.75">
      <c r="I34" s="3"/>
      <c r="N34" s="16"/>
      <c r="O34" s="16"/>
    </row>
    <row r="35" spans="9:15" x14ac:dyDescent="0.75">
      <c r="I35" s="3"/>
    </row>
  </sheetData>
  <mergeCells count="4">
    <mergeCell ref="I3:N4"/>
    <mergeCell ref="C5:H5"/>
    <mergeCell ref="I5:N5"/>
    <mergeCell ref="L18:M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08BF-0D8D-47AA-99F5-EC47BD648A3B}">
  <dimension ref="A3:X40"/>
  <sheetViews>
    <sheetView rightToLeft="1" workbookViewId="0">
      <selection activeCell="F32" sqref="F32"/>
    </sheetView>
  </sheetViews>
  <sheetFormatPr defaultRowHeight="14.75" x14ac:dyDescent="0.75"/>
  <cols>
    <col min="1" max="1" width="25.86328125" bestFit="1" customWidth="1"/>
    <col min="2" max="3" width="10.54296875" bestFit="1" customWidth="1"/>
    <col min="4" max="5" width="9.54296875" bestFit="1" customWidth="1"/>
    <col min="6" max="6" width="9.7265625" customWidth="1"/>
    <col min="7" max="7" width="9.7265625" hidden="1" customWidth="1"/>
    <col min="8" max="8" width="14.1328125" customWidth="1"/>
    <col min="9" max="9" width="10" customWidth="1"/>
    <col min="10" max="10" width="9.86328125" bestFit="1" customWidth="1"/>
    <col min="11" max="11" width="9.54296875" bestFit="1" customWidth="1"/>
    <col min="12" max="12" width="10.54296875" bestFit="1" customWidth="1"/>
    <col min="13" max="13" width="9.7265625" hidden="1" customWidth="1"/>
    <col min="14" max="14" width="14.1328125" bestFit="1" customWidth="1"/>
    <col min="15" max="15" width="11.40625" bestFit="1" customWidth="1"/>
    <col min="17" max="17" width="14" bestFit="1" customWidth="1"/>
    <col min="18" max="18" width="12.7265625" bestFit="1" customWidth="1"/>
    <col min="19" max="19" width="14.1328125" bestFit="1" customWidth="1"/>
    <col min="25" max="25" width="12.26953125" bestFit="1" customWidth="1"/>
  </cols>
  <sheetData>
    <row r="3" spans="2:24" x14ac:dyDescent="0.75">
      <c r="I3" s="19"/>
      <c r="J3" s="19"/>
      <c r="K3" s="19"/>
      <c r="L3" s="19"/>
      <c r="M3" s="19"/>
      <c r="N3" s="19"/>
    </row>
    <row r="4" spans="2:24" x14ac:dyDescent="0.75">
      <c r="I4" s="19"/>
      <c r="J4" s="19"/>
      <c r="K4" s="19"/>
      <c r="L4" s="19"/>
      <c r="M4" s="19"/>
      <c r="N4" s="19"/>
    </row>
    <row r="5" spans="2:24" ht="15" customHeight="1" x14ac:dyDescent="0.75">
      <c r="B5" s="14"/>
      <c r="C5" s="54" t="s">
        <v>47</v>
      </c>
      <c r="D5" s="18"/>
      <c r="E5" s="18"/>
      <c r="F5" s="18"/>
      <c r="G5" s="18"/>
      <c r="H5" s="18"/>
      <c r="I5" s="55" t="s">
        <v>45</v>
      </c>
      <c r="J5" s="17"/>
      <c r="K5" s="17"/>
      <c r="L5" s="17"/>
      <c r="M5" s="17"/>
      <c r="N5" s="17"/>
      <c r="V5" s="2"/>
      <c r="W5" s="2"/>
      <c r="X5" s="2"/>
    </row>
    <row r="6" spans="2:24" x14ac:dyDescent="0.75">
      <c r="B6" s="14"/>
      <c r="C6" s="5">
        <v>5</v>
      </c>
      <c r="D6" s="4"/>
      <c r="E6" s="4"/>
      <c r="F6" s="4"/>
      <c r="G6" s="4"/>
      <c r="H6" s="4"/>
      <c r="I6" s="7"/>
      <c r="J6" s="7"/>
      <c r="K6" s="7"/>
      <c r="L6" s="7"/>
      <c r="M6" s="7"/>
      <c r="N6" s="7"/>
      <c r="V6" s="1"/>
      <c r="W6" s="1"/>
      <c r="X6" s="1"/>
    </row>
    <row r="7" spans="2:24" x14ac:dyDescent="0.75">
      <c r="B7" s="14" t="s">
        <v>46</v>
      </c>
      <c r="C7" s="5" t="s">
        <v>0</v>
      </c>
      <c r="D7" s="4" t="s">
        <v>1</v>
      </c>
      <c r="E7" s="4" t="s">
        <v>9</v>
      </c>
      <c r="F7" s="4" t="s">
        <v>10</v>
      </c>
      <c r="G7" s="4"/>
      <c r="H7" s="4"/>
      <c r="I7" s="8" t="s">
        <v>0</v>
      </c>
      <c r="J7" s="7" t="s">
        <v>1</v>
      </c>
      <c r="K7" s="7" t="s">
        <v>9</v>
      </c>
      <c r="L7" s="7" t="s">
        <v>10</v>
      </c>
      <c r="M7" s="7"/>
      <c r="N7" s="7"/>
      <c r="V7" s="1"/>
      <c r="W7" s="1"/>
      <c r="X7" s="1"/>
    </row>
    <row r="8" spans="2:24" x14ac:dyDescent="0.75">
      <c r="B8" s="15">
        <v>2018</v>
      </c>
      <c r="C8" s="6">
        <v>1500</v>
      </c>
      <c r="D8" s="6">
        <v>400</v>
      </c>
      <c r="E8" s="6">
        <v>200</v>
      </c>
      <c r="F8" s="6">
        <f>SUM(C8:E8)</f>
        <v>2100</v>
      </c>
      <c r="G8" s="6"/>
      <c r="H8" s="6"/>
      <c r="I8" s="11">
        <v>1690</v>
      </c>
      <c r="J8" s="11">
        <v>400</v>
      </c>
      <c r="K8" s="11">
        <v>200</v>
      </c>
      <c r="L8" s="11">
        <f>SUM(I8:K8)</f>
        <v>2290</v>
      </c>
      <c r="M8" s="11"/>
      <c r="N8" s="11"/>
      <c r="V8" s="1"/>
      <c r="W8" s="1"/>
      <c r="X8" s="1"/>
    </row>
    <row r="9" spans="2:24" x14ac:dyDescent="0.75">
      <c r="B9" s="15">
        <v>2019</v>
      </c>
      <c r="C9" s="10">
        <f>SUM(C8:E8)*1.03-SUM(D9:E9)</f>
        <v>1748</v>
      </c>
      <c r="D9" s="6">
        <v>250</v>
      </c>
      <c r="E9" s="6">
        <v>165</v>
      </c>
      <c r="F9" s="6">
        <f>SUM(C9:E9)</f>
        <v>2163</v>
      </c>
      <c r="G9" s="6"/>
      <c r="H9" s="6"/>
      <c r="I9" s="12">
        <f>SUM(I8:K8)*1.03-SUM(J9:K9)</f>
        <v>1758.7000000000003</v>
      </c>
      <c r="J9" s="11">
        <v>400</v>
      </c>
      <c r="K9" s="11">
        <v>200</v>
      </c>
      <c r="L9" s="11">
        <f t="shared" ref="L9" si="0">SUM(I9:K9)</f>
        <v>2358.7000000000003</v>
      </c>
      <c r="M9" s="11">
        <f>L8*1.03</f>
        <v>2358.7000000000003</v>
      </c>
      <c r="N9" s="11"/>
      <c r="Q9" s="1"/>
      <c r="R9" s="1"/>
      <c r="S9" s="1"/>
      <c r="V9" s="1"/>
      <c r="W9" s="1"/>
      <c r="X9" s="1"/>
    </row>
    <row r="10" spans="2:24" x14ac:dyDescent="0.75">
      <c r="B10" s="15">
        <v>2020</v>
      </c>
      <c r="C10" s="10">
        <f>SUM(C9:E9)*1.03-SUM(D10:E10)</f>
        <v>1812.8899999999999</v>
      </c>
      <c r="D10" s="6">
        <v>250</v>
      </c>
      <c r="E10" s="6">
        <v>165</v>
      </c>
      <c r="F10" s="6">
        <f t="shared" ref="F10:F15" si="1">SUM(C10:E10)</f>
        <v>2227.89</v>
      </c>
      <c r="G10" s="6">
        <f>F9*1.03</f>
        <v>2227.89</v>
      </c>
      <c r="H10" s="6"/>
      <c r="I10" s="12">
        <f>SUM(I9:K9)*1.03-SUM(J10:K10)</f>
        <v>1829.4610000000002</v>
      </c>
      <c r="J10" s="11">
        <v>400</v>
      </c>
      <c r="K10" s="11">
        <v>200</v>
      </c>
      <c r="L10" s="11">
        <f t="shared" ref="L10:L13" si="2">SUM(I10:K10)</f>
        <v>2429.4610000000002</v>
      </c>
      <c r="M10" s="11">
        <f>L9*1.03</f>
        <v>2429.4610000000002</v>
      </c>
      <c r="N10" s="11"/>
      <c r="Q10" s="1"/>
      <c r="R10" s="1"/>
      <c r="S10" s="1"/>
      <c r="V10" s="1"/>
      <c r="W10" s="1"/>
      <c r="X10" s="1"/>
    </row>
    <row r="11" spans="2:24" x14ac:dyDescent="0.75">
      <c r="B11" s="15">
        <v>2021</v>
      </c>
      <c r="C11" s="10">
        <f>SUM(C10:E10)*1.015-SUM(D11:E11)</f>
        <v>1846.3083499999998</v>
      </c>
      <c r="D11" s="6">
        <v>250</v>
      </c>
      <c r="E11" s="6">
        <v>165</v>
      </c>
      <c r="F11" s="6">
        <f t="shared" si="1"/>
        <v>2261.3083499999998</v>
      </c>
      <c r="G11" s="6">
        <f>F10*1.03</f>
        <v>2294.7266999999997</v>
      </c>
      <c r="H11" s="6"/>
      <c r="I11" s="12">
        <f>SUM(I10:K10)*1.015-SUM(J11:K11)</f>
        <v>1865.9029150000001</v>
      </c>
      <c r="J11" s="11">
        <v>400</v>
      </c>
      <c r="K11" s="11">
        <v>200</v>
      </c>
      <c r="L11" s="11">
        <f t="shared" si="2"/>
        <v>2465.9029150000001</v>
      </c>
      <c r="M11" s="11">
        <f>L10*1.03</f>
        <v>2502.3448300000005</v>
      </c>
      <c r="N11" s="11"/>
      <c r="Q11" s="1"/>
      <c r="R11" s="1"/>
      <c r="S11" s="1"/>
      <c r="V11" s="1"/>
      <c r="W11" s="1"/>
      <c r="X11" s="1"/>
    </row>
    <row r="12" spans="2:24" x14ac:dyDescent="0.75">
      <c r="B12" s="15">
        <v>2022</v>
      </c>
      <c r="C12" s="10">
        <f>SUM(C11:E11)*1.03-SUM(D12:E12)</f>
        <v>1914.1476005</v>
      </c>
      <c r="D12" s="6">
        <v>250</v>
      </c>
      <c r="E12" s="6">
        <v>165</v>
      </c>
      <c r="F12" s="6">
        <f t="shared" si="1"/>
        <v>2329.1476005</v>
      </c>
      <c r="G12" s="6">
        <f>F11*1.03</f>
        <v>2329.1476005</v>
      </c>
      <c r="H12" s="6"/>
      <c r="I12" s="12">
        <f>SUM(I11:K11)*1.03-SUM(J12:K12)</f>
        <v>1939.8800024500001</v>
      </c>
      <c r="J12" s="11">
        <v>400</v>
      </c>
      <c r="K12" s="11">
        <v>200</v>
      </c>
      <c r="L12" s="11">
        <f t="shared" si="2"/>
        <v>2539.8800024500001</v>
      </c>
      <c r="M12" s="11">
        <f>L11*1.03</f>
        <v>2539.8800024500001</v>
      </c>
      <c r="N12" s="11"/>
      <c r="Q12" s="1"/>
      <c r="R12" s="1"/>
      <c r="S12" s="1"/>
      <c r="V12" s="1"/>
      <c r="W12" s="1"/>
      <c r="X12" s="1"/>
    </row>
    <row r="13" spans="2:24" x14ac:dyDescent="0.75">
      <c r="B13" s="15">
        <v>2023</v>
      </c>
      <c r="C13" s="10">
        <f>SUM(C12:E12)*1.03-SUM(D13:E13)</f>
        <v>1984.0220285149999</v>
      </c>
      <c r="D13" s="6">
        <v>250</v>
      </c>
      <c r="E13" s="6">
        <v>165</v>
      </c>
      <c r="F13" s="6">
        <f t="shared" si="1"/>
        <v>2399.0220285149999</v>
      </c>
      <c r="G13" s="6">
        <f>F12*1.03</f>
        <v>2399.0220285149999</v>
      </c>
      <c r="H13" s="6"/>
      <c r="I13" s="12">
        <f>SUM(I12:K12)*1.03-SUM(J13:K13)</f>
        <v>2016.0764025235003</v>
      </c>
      <c r="J13" s="11">
        <v>400</v>
      </c>
      <c r="K13" s="11">
        <v>200</v>
      </c>
      <c r="L13" s="11">
        <f t="shared" si="2"/>
        <v>2616.0764025235003</v>
      </c>
      <c r="M13" s="11">
        <f>L12*1.03</f>
        <v>2616.0764025235003</v>
      </c>
      <c r="N13" s="11"/>
      <c r="Q13" s="1"/>
      <c r="R13" s="1"/>
      <c r="S13" s="1"/>
      <c r="V13" s="1"/>
      <c r="W13" s="1"/>
      <c r="X13" s="1"/>
    </row>
    <row r="14" spans="2:24" x14ac:dyDescent="0.75">
      <c r="B14" s="15">
        <v>2024</v>
      </c>
      <c r="C14" s="10">
        <f t="shared" ref="C14:C15" si="3">SUM(C13:E13)*1.03-SUM(D14:E14)</f>
        <v>1870.9926893704501</v>
      </c>
      <c r="D14" s="10">
        <v>400</v>
      </c>
      <c r="E14" s="6">
        <v>200</v>
      </c>
      <c r="F14" s="53">
        <f t="shared" si="1"/>
        <v>2470.9926893704501</v>
      </c>
      <c r="G14" s="6" t="e">
        <f>#REF!*1.03</f>
        <v>#REF!</v>
      </c>
      <c r="H14" s="6"/>
      <c r="I14" s="12">
        <f t="shared" ref="I14:I15" si="4">SUM(I13:K13)*1.03-SUM(J14:K14)</f>
        <v>2094.5586945992054</v>
      </c>
      <c r="J14" s="11">
        <v>400</v>
      </c>
      <c r="K14" s="11">
        <v>200</v>
      </c>
      <c r="L14" s="53">
        <f>SUM(I14:K14)</f>
        <v>2694.5586945992054</v>
      </c>
      <c r="M14" s="11" t="e">
        <f>#REF!*1.03</f>
        <v>#REF!</v>
      </c>
      <c r="N14" s="11"/>
      <c r="Q14" s="1"/>
      <c r="R14" s="1"/>
      <c r="S14" s="1"/>
    </row>
    <row r="15" spans="2:24" x14ac:dyDescent="0.75">
      <c r="B15" s="15">
        <v>2025</v>
      </c>
      <c r="C15" s="10">
        <f t="shared" si="3"/>
        <v>1945.1224700515636</v>
      </c>
      <c r="D15" s="10">
        <v>400</v>
      </c>
      <c r="E15" s="6">
        <v>200</v>
      </c>
      <c r="F15" s="6">
        <f t="shared" si="1"/>
        <v>2545.1224700515636</v>
      </c>
      <c r="G15" s="6">
        <f>F14*1.03</f>
        <v>2545.1224700515636</v>
      </c>
      <c r="H15" s="6"/>
      <c r="I15" s="12">
        <f t="shared" si="4"/>
        <v>2175.3954554371817</v>
      </c>
      <c r="J15" s="13">
        <v>400</v>
      </c>
      <c r="K15" s="13">
        <v>200</v>
      </c>
      <c r="L15" s="13">
        <f>SUM(I15:K15)</f>
        <v>2775.3954554371817</v>
      </c>
      <c r="M15" s="11">
        <f>L14*1.03</f>
        <v>2775.3954554371817</v>
      </c>
      <c r="N15" s="11"/>
      <c r="T15" s="3"/>
    </row>
    <row r="16" spans="2:24" x14ac:dyDescent="0.75">
      <c r="L16" s="19"/>
      <c r="M16" s="19"/>
    </row>
    <row r="17" spans="1:14" ht="42" customHeight="1" x14ac:dyDescent="0.75">
      <c r="A17" s="50"/>
      <c r="B17" s="50"/>
      <c r="C17" s="2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 x14ac:dyDescent="0.75">
      <c r="B18" s="3"/>
      <c r="C18" s="20"/>
      <c r="D18" s="3"/>
      <c r="E18" s="3"/>
      <c r="F18" s="3"/>
      <c r="H18" s="3"/>
      <c r="K18" s="47"/>
      <c r="L18" s="47"/>
      <c r="N18" s="47"/>
    </row>
    <row r="19" spans="1:14" x14ac:dyDescent="0.75">
      <c r="B19" s="3"/>
      <c r="C19" s="20"/>
      <c r="D19" s="3"/>
      <c r="E19" s="3"/>
      <c r="F19" s="3"/>
      <c r="H19" s="3"/>
      <c r="K19" s="47"/>
      <c r="L19" s="47"/>
      <c r="N19" s="47"/>
    </row>
    <row r="20" spans="1:14" x14ac:dyDescent="0.75">
      <c r="B20" s="3"/>
      <c r="C20" s="20"/>
      <c r="D20" s="3"/>
      <c r="E20" s="3"/>
      <c r="F20" s="3"/>
      <c r="H20" s="3"/>
      <c r="K20" s="47"/>
      <c r="L20" s="47"/>
      <c r="N20" s="47"/>
    </row>
    <row r="21" spans="1:14" x14ac:dyDescent="0.75">
      <c r="B21" s="3"/>
      <c r="C21" s="20"/>
      <c r="D21" s="3"/>
      <c r="E21" s="3"/>
      <c r="F21" s="3"/>
      <c r="H21" s="3"/>
      <c r="K21" s="47"/>
      <c r="L21" s="47"/>
      <c r="N21" s="47"/>
    </row>
    <row r="22" spans="1:14" x14ac:dyDescent="0.75">
      <c r="B22" s="3"/>
      <c r="C22" s="20"/>
      <c r="D22" s="3"/>
      <c r="E22" s="3"/>
      <c r="F22" s="3"/>
      <c r="H22" s="3"/>
      <c r="K22" s="47"/>
      <c r="L22" s="47"/>
      <c r="N22" s="47"/>
    </row>
    <row r="23" spans="1:14" x14ac:dyDescent="0.75">
      <c r="B23" s="3"/>
      <c r="C23" s="20"/>
      <c r="D23" s="3"/>
      <c r="E23" s="3"/>
      <c r="F23" s="3"/>
      <c r="H23" s="3"/>
      <c r="K23" s="47"/>
      <c r="L23" s="47"/>
      <c r="N23" s="47"/>
    </row>
    <row r="24" spans="1:14" x14ac:dyDescent="0.75">
      <c r="B24" s="3"/>
      <c r="C24" s="20"/>
      <c r="D24" s="3"/>
      <c r="E24" s="3"/>
      <c r="F24" s="3"/>
      <c r="H24" s="3"/>
      <c r="K24" s="47"/>
      <c r="L24" s="47"/>
      <c r="N24" s="47"/>
    </row>
    <row r="25" spans="1:14" x14ac:dyDescent="0.75">
      <c r="B25" s="3"/>
      <c r="C25" s="20"/>
      <c r="D25" s="3"/>
      <c r="E25" s="3"/>
      <c r="F25" s="3"/>
      <c r="H25" s="3"/>
      <c r="K25" s="47"/>
      <c r="L25" s="47"/>
      <c r="N25" s="47"/>
    </row>
    <row r="26" spans="1:14" x14ac:dyDescent="0.75">
      <c r="B26" s="3"/>
      <c r="C26" s="20"/>
      <c r="D26" s="3"/>
      <c r="E26" s="3"/>
      <c r="F26" s="3"/>
      <c r="H26" s="3"/>
      <c r="K26" s="47"/>
      <c r="L26" s="47"/>
      <c r="N26" s="47"/>
    </row>
    <row r="27" spans="1:14" x14ac:dyDescent="0.75">
      <c r="B27" s="3"/>
      <c r="C27" s="20"/>
      <c r="D27" s="3"/>
      <c r="E27" s="3"/>
      <c r="F27" s="3"/>
      <c r="H27" s="3"/>
      <c r="K27" s="47"/>
      <c r="L27" s="47"/>
      <c r="N27" s="47"/>
    </row>
    <row r="28" spans="1:14" x14ac:dyDescent="0.75">
      <c r="B28" s="3"/>
      <c r="C28" s="20"/>
      <c r="D28" s="3"/>
      <c r="E28" s="3"/>
      <c r="F28" s="3"/>
      <c r="H28" s="3"/>
      <c r="K28" s="47"/>
      <c r="L28" s="47"/>
      <c r="N28" s="47"/>
    </row>
    <row r="29" spans="1:14" x14ac:dyDescent="0.75">
      <c r="B29" s="3"/>
      <c r="C29" s="20"/>
      <c r="D29" s="3"/>
      <c r="E29" s="3"/>
      <c r="F29" s="3"/>
      <c r="H29" s="3"/>
      <c r="K29" s="47"/>
      <c r="L29" s="47"/>
      <c r="N29" s="47"/>
    </row>
    <row r="30" spans="1:14" x14ac:dyDescent="0.75">
      <c r="B30" s="3"/>
      <c r="C30" s="20"/>
      <c r="D30" s="3"/>
      <c r="E30" s="3"/>
      <c r="F30" s="3"/>
      <c r="H30" s="3"/>
      <c r="K30" s="47"/>
      <c r="L30" s="47"/>
      <c r="N30" s="47"/>
    </row>
    <row r="31" spans="1:14" x14ac:dyDescent="0.75">
      <c r="B31" s="3"/>
      <c r="C31" s="20"/>
      <c r="D31" s="3"/>
      <c r="E31" s="3"/>
      <c r="F31" s="3"/>
      <c r="H31" s="3"/>
      <c r="K31" s="47"/>
      <c r="L31" s="47"/>
      <c r="N31" s="47"/>
    </row>
    <row r="32" spans="1:14" x14ac:dyDescent="0.75">
      <c r="B32" s="3"/>
      <c r="C32" s="20"/>
      <c r="D32" s="3"/>
      <c r="E32" s="3"/>
      <c r="F32" s="3"/>
      <c r="H32" s="3"/>
      <c r="K32" s="47"/>
      <c r="L32" s="47"/>
      <c r="N32" s="47"/>
    </row>
    <row r="33" spans="2:14" x14ac:dyDescent="0.75">
      <c r="B33" s="3"/>
      <c r="C33" s="20"/>
      <c r="D33" s="3"/>
      <c r="E33" s="3"/>
      <c r="F33" s="3"/>
      <c r="H33" s="3"/>
      <c r="K33" s="47"/>
      <c r="L33" s="47"/>
      <c r="N33" s="47"/>
    </row>
    <row r="34" spans="2:14" x14ac:dyDescent="0.75">
      <c r="B34" s="3"/>
      <c r="C34" s="20"/>
      <c r="D34" s="3"/>
      <c r="E34" s="3"/>
      <c r="F34" s="3"/>
      <c r="H34" s="3"/>
      <c r="K34" s="47"/>
      <c r="L34" s="47"/>
      <c r="N34" s="47"/>
    </row>
    <row r="35" spans="2:14" x14ac:dyDescent="0.75">
      <c r="B35" s="3"/>
      <c r="C35" s="20"/>
      <c r="D35" s="3"/>
      <c r="E35" s="3"/>
      <c r="F35" s="3"/>
      <c r="H35" s="3"/>
      <c r="K35" s="47"/>
      <c r="L35" s="47"/>
      <c r="N35" s="47"/>
    </row>
    <row r="36" spans="2:14" x14ac:dyDescent="0.75">
      <c r="B36" s="3"/>
      <c r="C36" s="20"/>
      <c r="D36" s="3"/>
      <c r="E36" s="3"/>
      <c r="F36" s="3"/>
      <c r="H36" s="3"/>
      <c r="K36" s="47"/>
      <c r="L36" s="47"/>
      <c r="N36" s="47"/>
    </row>
    <row r="37" spans="2:14" x14ac:dyDescent="0.75">
      <c r="B37" s="3"/>
      <c r="C37" s="20"/>
      <c r="D37" s="3"/>
      <c r="E37" s="3"/>
      <c r="F37" s="3"/>
      <c r="H37" s="3"/>
      <c r="K37" s="47"/>
      <c r="L37" s="47"/>
      <c r="N37" s="47"/>
    </row>
    <row r="38" spans="2:14" x14ac:dyDescent="0.75">
      <c r="B38" s="3"/>
      <c r="C38" s="20"/>
      <c r="D38" s="3"/>
      <c r="E38" s="3"/>
      <c r="F38" s="3"/>
      <c r="H38" s="3"/>
      <c r="K38" s="47"/>
      <c r="L38" s="47"/>
      <c r="N38" s="47"/>
    </row>
    <row r="39" spans="2:14" x14ac:dyDescent="0.75">
      <c r="B39" s="3"/>
      <c r="C39" s="20"/>
      <c r="D39" s="3"/>
      <c r="E39" s="3"/>
      <c r="F39" s="3"/>
      <c r="H39" s="3"/>
      <c r="K39" s="47"/>
      <c r="L39" s="47"/>
      <c r="N39" s="47"/>
    </row>
    <row r="40" spans="2:14" x14ac:dyDescent="0.75">
      <c r="B40" s="3"/>
      <c r="C40" s="20"/>
      <c r="D40" s="3"/>
      <c r="E40" s="3"/>
      <c r="F40" s="3"/>
      <c r="H40" s="3"/>
      <c r="K40" s="47"/>
      <c r="L40" s="47"/>
      <c r="N40" s="4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B8C6-8A88-46FE-B468-D05F7DA3C840}">
  <dimension ref="A3:X35"/>
  <sheetViews>
    <sheetView topLeftCell="A5" zoomScale="93" zoomScaleNormal="130" workbookViewId="0">
      <selection activeCell="C8" sqref="C8"/>
    </sheetView>
  </sheetViews>
  <sheetFormatPr defaultRowHeight="14.75" x14ac:dyDescent="0.75"/>
  <cols>
    <col min="1" max="1" width="24.26953125" bestFit="1" customWidth="1"/>
    <col min="2" max="3" width="10.54296875" bestFit="1" customWidth="1"/>
    <col min="4" max="5" width="9.54296875" bestFit="1" customWidth="1"/>
    <col min="6" max="7" width="9.7265625" customWidth="1"/>
    <col min="8" max="8" width="14.1328125" customWidth="1"/>
    <col min="9" max="9" width="10" customWidth="1"/>
    <col min="10" max="10" width="10.86328125" customWidth="1"/>
    <col min="11" max="11" width="8.26953125" bestFit="1" customWidth="1"/>
    <col min="12" max="12" width="9.7265625" bestFit="1" customWidth="1"/>
    <col min="13" max="13" width="9.7265625" customWidth="1"/>
    <col min="14" max="14" width="8.54296875" customWidth="1"/>
    <col min="17" max="17" width="14" bestFit="1" customWidth="1"/>
    <col min="18" max="18" width="12.7265625" bestFit="1" customWidth="1"/>
    <col min="25" max="25" width="12.26953125" bestFit="1" customWidth="1"/>
  </cols>
  <sheetData>
    <row r="3" spans="1:24" x14ac:dyDescent="0.75">
      <c r="I3" s="61" t="s">
        <v>11</v>
      </c>
      <c r="J3" s="61"/>
      <c r="K3" s="61"/>
      <c r="L3" s="61"/>
      <c r="M3" s="61"/>
      <c r="N3" s="61"/>
    </row>
    <row r="4" spans="1:24" x14ac:dyDescent="0.75">
      <c r="I4" s="61"/>
      <c r="J4" s="61"/>
      <c r="K4" s="61"/>
      <c r="L4" s="61"/>
      <c r="M4" s="61"/>
      <c r="N4" s="61"/>
    </row>
    <row r="5" spans="1:24" ht="42" customHeight="1" x14ac:dyDescent="0.75">
      <c r="B5" s="14"/>
      <c r="C5" s="60" t="s">
        <v>3</v>
      </c>
      <c r="D5" s="60"/>
      <c r="E5" s="60"/>
      <c r="F5" s="60"/>
      <c r="G5" s="60"/>
      <c r="H5" s="60"/>
      <c r="I5" s="59" t="s">
        <v>4</v>
      </c>
      <c r="J5" s="59"/>
      <c r="K5" s="59"/>
      <c r="L5" s="59"/>
      <c r="M5" s="59"/>
      <c r="N5" s="59"/>
      <c r="V5" s="2"/>
      <c r="W5" s="2"/>
      <c r="X5" s="2"/>
    </row>
    <row r="6" spans="1:24" x14ac:dyDescent="0.75">
      <c r="B6" s="14"/>
      <c r="C6" s="5">
        <v>5</v>
      </c>
      <c r="D6" s="4"/>
      <c r="E6" s="4"/>
      <c r="F6" s="4"/>
      <c r="G6" s="4"/>
      <c r="H6" s="4"/>
      <c r="I6" s="7">
        <v>4.2</v>
      </c>
      <c r="J6" s="7"/>
      <c r="K6" s="7"/>
      <c r="L6" s="7"/>
      <c r="M6" s="7"/>
      <c r="N6" s="7"/>
      <c r="V6" s="1">
        <v>2678</v>
      </c>
      <c r="W6" s="1">
        <f>(V11*0.03)+V8</f>
        <v>2078</v>
      </c>
      <c r="X6" s="1"/>
    </row>
    <row r="7" spans="1:24" x14ac:dyDescent="0.75">
      <c r="B7" s="14"/>
      <c r="C7" s="5" t="s">
        <v>0</v>
      </c>
      <c r="D7" s="4" t="s">
        <v>1</v>
      </c>
      <c r="E7" s="4" t="s">
        <v>9</v>
      </c>
      <c r="F7" s="4" t="s">
        <v>10</v>
      </c>
      <c r="G7" s="4"/>
      <c r="H7" s="4" t="s">
        <v>2</v>
      </c>
      <c r="I7" s="8" t="s">
        <v>0</v>
      </c>
      <c r="J7" s="7" t="s">
        <v>1</v>
      </c>
      <c r="K7" s="7" t="s">
        <v>9</v>
      </c>
      <c r="L7" s="7" t="s">
        <v>10</v>
      </c>
      <c r="M7" s="7"/>
      <c r="N7" s="7" t="s">
        <v>2</v>
      </c>
      <c r="V7" s="1"/>
      <c r="W7" s="1"/>
      <c r="X7" s="1"/>
    </row>
    <row r="8" spans="1:24" x14ac:dyDescent="0.75">
      <c r="B8" s="15">
        <v>2019</v>
      </c>
      <c r="C8" s="6">
        <v>1335</v>
      </c>
      <c r="D8" s="6">
        <v>250</v>
      </c>
      <c r="E8" s="6">
        <v>165</v>
      </c>
      <c r="F8" s="6">
        <f>SUM(C8:E8)</f>
        <v>1750</v>
      </c>
      <c r="G8" s="6"/>
      <c r="H8" s="6">
        <f>C8*0.15</f>
        <v>200.25</v>
      </c>
      <c r="I8" s="11">
        <v>2000</v>
      </c>
      <c r="J8" s="11">
        <v>400</v>
      </c>
      <c r="K8" s="11">
        <v>200</v>
      </c>
      <c r="L8" s="11">
        <f>SUM(I8:K8)</f>
        <v>2600</v>
      </c>
      <c r="M8" s="11"/>
      <c r="N8" s="11">
        <f>I8*0.15</f>
        <v>300</v>
      </c>
      <c r="Q8" s="1"/>
      <c r="R8" s="1"/>
      <c r="S8" s="1"/>
      <c r="V8" s="1">
        <v>2000</v>
      </c>
      <c r="W8" s="1"/>
      <c r="X8" s="1"/>
    </row>
    <row r="9" spans="1:24" x14ac:dyDescent="0.75">
      <c r="B9" s="15">
        <v>2020</v>
      </c>
      <c r="C9" s="10">
        <f>SUM(C8:E8)*1.03-SUM(D9:E9)</f>
        <v>1387.5</v>
      </c>
      <c r="D9" s="6">
        <v>250</v>
      </c>
      <c r="E9" s="6">
        <v>165</v>
      </c>
      <c r="F9" s="6">
        <f t="shared" ref="F9:F16" si="0">SUM(C9:E9)</f>
        <v>1802.5</v>
      </c>
      <c r="G9" s="6">
        <f>F8*1.03</f>
        <v>1802.5</v>
      </c>
      <c r="H9" s="6">
        <f t="shared" ref="H9:H16" si="1">C9*0.15</f>
        <v>208.125</v>
      </c>
      <c r="I9" s="12">
        <f>SUM(I8:K8)*1.03-SUM(J9:K9)</f>
        <v>2078</v>
      </c>
      <c r="J9" s="11">
        <v>400</v>
      </c>
      <c r="K9" s="11">
        <v>200</v>
      </c>
      <c r="L9" s="11">
        <f t="shared" ref="L9:L13" si="2">SUM(I9:K9)</f>
        <v>2678</v>
      </c>
      <c r="M9" s="11">
        <f>L8*1.03</f>
        <v>2678</v>
      </c>
      <c r="N9" s="11">
        <f>I9*0.15</f>
        <v>311.7</v>
      </c>
      <c r="Q9" s="1"/>
      <c r="R9" s="1"/>
      <c r="S9" s="1"/>
      <c r="V9" s="1">
        <v>400</v>
      </c>
      <c r="W9" s="1"/>
      <c r="X9" s="1"/>
    </row>
    <row r="10" spans="1:24" x14ac:dyDescent="0.75">
      <c r="B10" s="15">
        <v>2021</v>
      </c>
      <c r="C10" s="10">
        <f>SUM(C9:E9)*1.03-SUM(D10:E10)</f>
        <v>1441.575</v>
      </c>
      <c r="D10" s="6">
        <v>250</v>
      </c>
      <c r="E10" s="6">
        <v>165</v>
      </c>
      <c r="F10" s="6">
        <f t="shared" si="0"/>
        <v>1856.575</v>
      </c>
      <c r="G10" s="6">
        <f>F9*1.03</f>
        <v>1856.575</v>
      </c>
      <c r="H10" s="6">
        <f t="shared" si="1"/>
        <v>216.23625000000001</v>
      </c>
      <c r="I10" s="12">
        <f>SUM(I9:K9)*1.03-SUM(J10:K10)</f>
        <v>2158.34</v>
      </c>
      <c r="J10" s="11">
        <v>400</v>
      </c>
      <c r="K10" s="11">
        <v>200</v>
      </c>
      <c r="L10" s="11">
        <f t="shared" si="2"/>
        <v>2758.34</v>
      </c>
      <c r="M10" s="11">
        <f>L9*1.03</f>
        <v>2758.34</v>
      </c>
      <c r="N10" s="11">
        <f t="shared" ref="N10:N16" si="3">I10*0.15</f>
        <v>323.75100000000003</v>
      </c>
      <c r="Q10" s="1"/>
      <c r="R10" s="1"/>
      <c r="S10" s="1"/>
      <c r="V10" s="1">
        <v>200</v>
      </c>
      <c r="W10" s="1"/>
      <c r="X10" s="1"/>
    </row>
    <row r="11" spans="1:24" x14ac:dyDescent="0.75">
      <c r="A11" t="s">
        <v>13</v>
      </c>
      <c r="B11" s="15">
        <v>2021</v>
      </c>
      <c r="C11" s="10">
        <f>C10</f>
        <v>1441.575</v>
      </c>
      <c r="D11" s="10">
        <f t="shared" ref="D11:E11" si="4">D10</f>
        <v>250</v>
      </c>
      <c r="E11" s="10">
        <f t="shared" si="4"/>
        <v>165</v>
      </c>
      <c r="F11" s="6">
        <f t="shared" si="0"/>
        <v>1856.575</v>
      </c>
      <c r="G11" s="6"/>
      <c r="H11" s="6">
        <f>C11*0.105</f>
        <v>151.365375</v>
      </c>
      <c r="I11" s="12">
        <f>I10</f>
        <v>2158.34</v>
      </c>
      <c r="J11" s="11">
        <v>400</v>
      </c>
      <c r="K11" s="11">
        <v>200</v>
      </c>
      <c r="L11" s="11">
        <f>L10</f>
        <v>2758.34</v>
      </c>
      <c r="M11" s="11"/>
      <c r="N11" s="11">
        <f>I11*0.105</f>
        <v>226.62569999999999</v>
      </c>
      <c r="Q11" s="1"/>
      <c r="R11" s="1"/>
      <c r="S11" s="1"/>
      <c r="V11" s="1">
        <f>SUM(V8:V10)</f>
        <v>2600</v>
      </c>
      <c r="W11" s="1"/>
      <c r="X11" s="1"/>
    </row>
    <row r="12" spans="1:24" x14ac:dyDescent="0.75">
      <c r="B12" s="15">
        <v>2022</v>
      </c>
      <c r="C12" s="10">
        <f>SUM(C10:E10)*1.03-SUM(D12:E12)</f>
        <v>1497.27225</v>
      </c>
      <c r="D12" s="6">
        <v>250</v>
      </c>
      <c r="E12" s="6">
        <v>165</v>
      </c>
      <c r="F12" s="6">
        <f t="shared" si="0"/>
        <v>1912.27225</v>
      </c>
      <c r="G12" s="6">
        <f>F10*1.03</f>
        <v>1912.27225</v>
      </c>
      <c r="H12" s="6">
        <f>C12*0.105</f>
        <v>157.21358624999999</v>
      </c>
      <c r="I12" s="12">
        <f>SUM(I10:K10)*1.03-SUM(J12:K12)</f>
        <v>2241.0902000000001</v>
      </c>
      <c r="J12" s="11">
        <v>400</v>
      </c>
      <c r="K12" s="11">
        <v>200</v>
      </c>
      <c r="L12" s="11">
        <f t="shared" si="2"/>
        <v>2841.0902000000001</v>
      </c>
      <c r="M12" s="11">
        <f>L10*1.03</f>
        <v>2841.0902000000001</v>
      </c>
      <c r="N12" s="11">
        <f>I12*0.105</f>
        <v>235.314471</v>
      </c>
      <c r="Q12" s="1"/>
      <c r="R12" s="1"/>
      <c r="S12" s="1"/>
      <c r="V12" s="1"/>
      <c r="W12" s="1"/>
      <c r="X12" s="1"/>
    </row>
    <row r="13" spans="1:24" x14ac:dyDescent="0.75">
      <c r="B13" s="15">
        <v>2023</v>
      </c>
      <c r="C13" s="10">
        <f>SUM(C12:E12)*1.03-SUM(D13:E13)</f>
        <v>1554.6404175</v>
      </c>
      <c r="D13" s="6">
        <v>250</v>
      </c>
      <c r="E13" s="6">
        <v>165</v>
      </c>
      <c r="F13" s="6">
        <f t="shared" si="0"/>
        <v>1969.6404175</v>
      </c>
      <c r="G13" s="6">
        <f>F12*1.03</f>
        <v>1969.6404175</v>
      </c>
      <c r="H13" s="6">
        <f>C13*0.105</f>
        <v>163.23724383749999</v>
      </c>
      <c r="I13" s="12">
        <f>SUM(I12:K12)*1.03-SUM(J13:K13)</f>
        <v>2326.3229060000003</v>
      </c>
      <c r="J13" s="11">
        <v>400</v>
      </c>
      <c r="K13" s="11">
        <v>200</v>
      </c>
      <c r="L13" s="11">
        <f t="shared" si="2"/>
        <v>2926.3229060000003</v>
      </c>
      <c r="M13" s="11">
        <f>L12*1.03</f>
        <v>2926.3229060000003</v>
      </c>
      <c r="N13" s="11">
        <f>I13*0.105</f>
        <v>244.26390513000001</v>
      </c>
      <c r="Q13" s="1"/>
      <c r="R13" s="1"/>
      <c r="S13" s="1"/>
      <c r="V13" s="1"/>
      <c r="W13" s="1" t="s">
        <v>16</v>
      </c>
      <c r="X13" s="1"/>
    </row>
    <row r="14" spans="1:24" x14ac:dyDescent="0.75">
      <c r="A14" t="s">
        <v>8</v>
      </c>
      <c r="B14" s="15">
        <v>2023</v>
      </c>
      <c r="C14" s="10">
        <v>1700</v>
      </c>
      <c r="D14" s="6">
        <v>400</v>
      </c>
      <c r="E14" s="6">
        <v>200</v>
      </c>
      <c r="F14" s="6">
        <f t="shared" si="0"/>
        <v>2300</v>
      </c>
      <c r="G14" s="6">
        <v>2300</v>
      </c>
      <c r="H14" s="6">
        <f>C14*0.105</f>
        <v>178.5</v>
      </c>
      <c r="I14" s="12">
        <f>I13</f>
        <v>2326.3229060000003</v>
      </c>
      <c r="J14" s="12">
        <f t="shared" ref="J14:K15" si="5">J13</f>
        <v>400</v>
      </c>
      <c r="K14" s="12">
        <f t="shared" si="5"/>
        <v>200</v>
      </c>
      <c r="L14" s="12">
        <f>L13</f>
        <v>2926.3229060000003</v>
      </c>
      <c r="M14" s="11"/>
      <c r="N14" s="11">
        <f>I14*0.105</f>
        <v>244.26390513000001</v>
      </c>
      <c r="Q14" s="1"/>
      <c r="R14" s="1"/>
      <c r="S14" s="1"/>
      <c r="V14" s="1"/>
      <c r="W14" s="1"/>
      <c r="X14" s="1"/>
    </row>
    <row r="15" spans="1:24" x14ac:dyDescent="0.75">
      <c r="A15" t="s">
        <v>12</v>
      </c>
      <c r="B15" s="15">
        <v>2023</v>
      </c>
      <c r="C15" s="10">
        <v>1700</v>
      </c>
      <c r="D15" s="6">
        <v>400</v>
      </c>
      <c r="E15" s="6">
        <v>200</v>
      </c>
      <c r="F15" s="6">
        <f t="shared" ref="F15" si="6">SUM(C15:E15)</f>
        <v>2300</v>
      </c>
      <c r="G15" s="6">
        <v>2300</v>
      </c>
      <c r="H15" s="6">
        <f t="shared" si="1"/>
        <v>255</v>
      </c>
      <c r="I15" s="12">
        <f>I13</f>
        <v>2326.3229060000003</v>
      </c>
      <c r="J15" s="12">
        <f t="shared" si="5"/>
        <v>400</v>
      </c>
      <c r="K15" s="12">
        <f t="shared" si="5"/>
        <v>200</v>
      </c>
      <c r="L15" s="12">
        <f>L13</f>
        <v>2926.3229060000003</v>
      </c>
      <c r="M15" s="11"/>
      <c r="N15" s="11">
        <f t="shared" si="3"/>
        <v>348.94843590000005</v>
      </c>
      <c r="Q15" s="1"/>
      <c r="R15" s="1"/>
      <c r="S15" s="1"/>
      <c r="V15" s="1"/>
      <c r="W15" s="1"/>
      <c r="X15" s="1"/>
    </row>
    <row r="16" spans="1:24" x14ac:dyDescent="0.75">
      <c r="B16" s="15">
        <v>2024</v>
      </c>
      <c r="C16" s="10">
        <f>SUM(C15:E15)*1.03-SUM(D15:E15)</f>
        <v>1769</v>
      </c>
      <c r="D16" s="10">
        <v>400</v>
      </c>
      <c r="E16" s="6">
        <v>200</v>
      </c>
      <c r="F16" s="6">
        <f t="shared" si="0"/>
        <v>2369</v>
      </c>
      <c r="G16" s="6">
        <f>F15*1.03</f>
        <v>2369</v>
      </c>
      <c r="H16" s="6">
        <f t="shared" si="1"/>
        <v>265.34999999999997</v>
      </c>
      <c r="I16" s="12">
        <f>SUM(I15:K15)*1.03-SUM(J16:K16)</f>
        <v>2414.1125931800002</v>
      </c>
      <c r="J16" s="11">
        <v>400</v>
      </c>
      <c r="K16" s="11">
        <v>200</v>
      </c>
      <c r="L16" s="11">
        <f>SUM(I16:K16)</f>
        <v>3014.1125931800002</v>
      </c>
      <c r="M16" s="11">
        <f>L15*1.03</f>
        <v>3014.1125931800002</v>
      </c>
      <c r="N16" s="11">
        <f t="shared" si="3"/>
        <v>362.11688897700003</v>
      </c>
      <c r="Q16" s="1"/>
      <c r="R16" s="1"/>
      <c r="S16" s="1"/>
    </row>
    <row r="17" spans="1:19" x14ac:dyDescent="0.75">
      <c r="B17" s="15">
        <v>2025</v>
      </c>
      <c r="C17" s="10">
        <f>SUM(C16:E16)*1.03-SUM(D16:E16)</f>
        <v>1840.0700000000002</v>
      </c>
      <c r="D17" s="10">
        <v>400</v>
      </c>
      <c r="E17" s="6">
        <v>200</v>
      </c>
      <c r="F17" s="6">
        <f t="shared" ref="F17" si="7">SUM(C17:E17)</f>
        <v>2440.0700000000002</v>
      </c>
      <c r="G17" s="6">
        <f>F16*1.03</f>
        <v>2440.0700000000002</v>
      </c>
      <c r="H17" s="6">
        <f t="shared" ref="H17" si="8">C17*0.15</f>
        <v>276.01050000000004</v>
      </c>
      <c r="I17" s="12">
        <f>SUM(I16:K16)*1.03-SUM(J17:K17)</f>
        <v>2504.5359709754002</v>
      </c>
      <c r="J17" s="13">
        <v>400</v>
      </c>
      <c r="K17" s="13">
        <v>200</v>
      </c>
      <c r="L17" s="13">
        <f>SUM(I17:K17)</f>
        <v>3104.5359709754002</v>
      </c>
      <c r="M17" s="11">
        <f>L16*1.03</f>
        <v>3104.5359709754002</v>
      </c>
      <c r="N17" s="11">
        <f t="shared" ref="N17" si="9">I17*0.15</f>
        <v>375.68039564631005</v>
      </c>
    </row>
    <row r="19" spans="1:19" x14ac:dyDescent="0.75">
      <c r="A19" t="s">
        <v>6</v>
      </c>
      <c r="B19" t="s">
        <v>7</v>
      </c>
      <c r="H19" s="1"/>
      <c r="I19" t="s">
        <v>17</v>
      </c>
      <c r="J19" t="s">
        <v>18</v>
      </c>
      <c r="O19" t="s">
        <v>5</v>
      </c>
      <c r="Q19" t="s">
        <v>15</v>
      </c>
      <c r="R19" t="s">
        <v>14</v>
      </c>
    </row>
    <row r="20" spans="1:19" x14ac:dyDescent="0.75">
      <c r="A20">
        <v>8</v>
      </c>
      <c r="B20" s="3">
        <v>2019</v>
      </c>
      <c r="H20" s="20">
        <f>(I20+J20)*A20</f>
        <v>6800</v>
      </c>
      <c r="I20" s="3">
        <f>I8-C8</f>
        <v>665</v>
      </c>
      <c r="J20" s="3">
        <f>SUM(J8:K8)-SUM(D8:E8)</f>
        <v>185</v>
      </c>
      <c r="L20" s="3">
        <f t="shared" ref="L20:L27" si="10">L8-F8</f>
        <v>850</v>
      </c>
      <c r="M20" s="3"/>
      <c r="N20" s="3">
        <f t="shared" ref="N20:N27" si="11">N8-H8</f>
        <v>99.75</v>
      </c>
      <c r="O20" s="3">
        <f t="shared" ref="O20:O28" si="12">(L20+N20)*A20</f>
        <v>7598</v>
      </c>
      <c r="Q20" s="3">
        <f t="shared" ref="Q20:Q28" si="13">L20*A20</f>
        <v>6800</v>
      </c>
      <c r="R20" s="3">
        <f t="shared" ref="R20:R28" si="14">N20*A20</f>
        <v>798</v>
      </c>
      <c r="S20" s="3"/>
    </row>
    <row r="21" spans="1:19" x14ac:dyDescent="0.75">
      <c r="A21">
        <v>12</v>
      </c>
      <c r="B21" s="3">
        <v>2020</v>
      </c>
      <c r="H21" s="20">
        <f t="shared" ref="H21:H29" si="15">(I21+J21)*A21</f>
        <v>10506</v>
      </c>
      <c r="I21" s="3">
        <f t="shared" ref="I21:I29" si="16">I9-C9</f>
        <v>690.5</v>
      </c>
      <c r="J21" s="3">
        <f t="shared" ref="J21:J29" si="17">SUM(J9:K9)-SUM(D9:E9)</f>
        <v>185</v>
      </c>
      <c r="L21" s="3">
        <f t="shared" si="10"/>
        <v>875.5</v>
      </c>
      <c r="M21" s="3"/>
      <c r="N21" s="3">
        <f t="shared" si="11"/>
        <v>103.57499999999999</v>
      </c>
      <c r="O21" s="3">
        <f t="shared" si="12"/>
        <v>11748.900000000001</v>
      </c>
      <c r="Q21" s="3">
        <f t="shared" si="13"/>
        <v>10506</v>
      </c>
      <c r="R21" s="3">
        <f t="shared" si="14"/>
        <v>1242.8999999999999</v>
      </c>
      <c r="S21" s="3"/>
    </row>
    <row r="22" spans="1:19" x14ac:dyDescent="0.75">
      <c r="A22">
        <v>9</v>
      </c>
      <c r="B22" s="3">
        <v>2021</v>
      </c>
      <c r="H22" s="20">
        <f t="shared" si="15"/>
        <v>8115.8850000000011</v>
      </c>
      <c r="I22" s="3">
        <f t="shared" si="16"/>
        <v>716.7650000000001</v>
      </c>
      <c r="J22" s="3">
        <f t="shared" si="17"/>
        <v>185</v>
      </c>
      <c r="L22" s="3">
        <f t="shared" si="10"/>
        <v>901.7650000000001</v>
      </c>
      <c r="M22" s="3"/>
      <c r="N22" s="3">
        <f t="shared" si="11"/>
        <v>107.51475000000002</v>
      </c>
      <c r="O22" s="3">
        <f t="shared" si="12"/>
        <v>9083.5177500000009</v>
      </c>
      <c r="Q22" s="3">
        <f t="shared" si="13"/>
        <v>8115.8850000000011</v>
      </c>
      <c r="R22" s="3">
        <f t="shared" si="14"/>
        <v>967.63275000000021</v>
      </c>
      <c r="S22" s="3"/>
    </row>
    <row r="23" spans="1:19" x14ac:dyDescent="0.75">
      <c r="A23">
        <v>3</v>
      </c>
      <c r="B23" s="3">
        <v>2021</v>
      </c>
      <c r="H23" s="20">
        <f t="shared" si="15"/>
        <v>2705.2950000000001</v>
      </c>
      <c r="I23" s="3">
        <f t="shared" si="16"/>
        <v>716.7650000000001</v>
      </c>
      <c r="J23" s="3">
        <f t="shared" si="17"/>
        <v>185</v>
      </c>
      <c r="L23" s="3">
        <f t="shared" si="10"/>
        <v>901.7650000000001</v>
      </c>
      <c r="M23" s="3"/>
      <c r="N23" s="3">
        <f t="shared" si="11"/>
        <v>75.260324999999995</v>
      </c>
      <c r="O23" s="3">
        <f t="shared" si="12"/>
        <v>2931.0759750000002</v>
      </c>
      <c r="Q23" s="3">
        <f t="shared" si="13"/>
        <v>2705.2950000000001</v>
      </c>
      <c r="R23" s="3">
        <f t="shared" si="14"/>
        <v>225.78097499999998</v>
      </c>
      <c r="S23" s="3"/>
    </row>
    <row r="24" spans="1:19" x14ac:dyDescent="0.75">
      <c r="A24">
        <v>12</v>
      </c>
      <c r="B24" s="3">
        <v>2022</v>
      </c>
      <c r="H24" s="20">
        <f t="shared" si="15"/>
        <v>11145.815400000001</v>
      </c>
      <c r="I24" s="3">
        <f t="shared" si="16"/>
        <v>743.81795000000011</v>
      </c>
      <c r="J24" s="3">
        <f t="shared" si="17"/>
        <v>185</v>
      </c>
      <c r="L24" s="3">
        <f t="shared" si="10"/>
        <v>928.81795000000011</v>
      </c>
      <c r="M24" s="3"/>
      <c r="N24" s="3">
        <f t="shared" si="11"/>
        <v>78.100884750000006</v>
      </c>
      <c r="O24" s="3">
        <f t="shared" si="12"/>
        <v>12083.026017</v>
      </c>
      <c r="Q24" s="3">
        <f t="shared" si="13"/>
        <v>11145.815400000001</v>
      </c>
      <c r="R24" s="3">
        <f t="shared" si="14"/>
        <v>937.21061700000007</v>
      </c>
      <c r="S24" s="3"/>
    </row>
    <row r="25" spans="1:19" x14ac:dyDescent="0.75">
      <c r="A25">
        <v>6</v>
      </c>
      <c r="B25" s="3">
        <v>2023</v>
      </c>
      <c r="H25" s="20">
        <f t="shared" si="15"/>
        <v>5740.0949310000015</v>
      </c>
      <c r="I25" s="3">
        <f t="shared" si="16"/>
        <v>771.68248850000032</v>
      </c>
      <c r="J25" s="3">
        <f t="shared" si="17"/>
        <v>185</v>
      </c>
      <c r="L25" s="3">
        <f t="shared" si="10"/>
        <v>956.68248850000032</v>
      </c>
      <c r="M25" s="3"/>
      <c r="N25" s="3">
        <f t="shared" si="11"/>
        <v>81.026661292500023</v>
      </c>
      <c r="O25" s="3">
        <f t="shared" si="12"/>
        <v>6226.2548987550017</v>
      </c>
      <c r="Q25" s="3">
        <f t="shared" si="13"/>
        <v>5740.0949310000015</v>
      </c>
      <c r="R25" s="3">
        <f t="shared" si="14"/>
        <v>486.15996775500014</v>
      </c>
      <c r="S25" s="3"/>
    </row>
    <row r="26" spans="1:19" x14ac:dyDescent="0.75">
      <c r="A26">
        <v>3</v>
      </c>
      <c r="B26" s="3">
        <v>2023</v>
      </c>
      <c r="H26" s="20">
        <f t="shared" si="15"/>
        <v>1878.968718000001</v>
      </c>
      <c r="I26" s="3">
        <f t="shared" si="16"/>
        <v>626.32290600000033</v>
      </c>
      <c r="J26" s="3">
        <f t="shared" si="17"/>
        <v>0</v>
      </c>
      <c r="L26" s="3">
        <f t="shared" si="10"/>
        <v>626.32290600000033</v>
      </c>
      <c r="M26" s="3"/>
      <c r="N26" s="3">
        <f t="shared" si="11"/>
        <v>65.763905130000012</v>
      </c>
      <c r="O26" s="3">
        <f t="shared" si="12"/>
        <v>2076.2604333900008</v>
      </c>
      <c r="Q26" s="3">
        <f t="shared" si="13"/>
        <v>1878.968718000001</v>
      </c>
      <c r="R26" s="3">
        <f t="shared" si="14"/>
        <v>197.29171539000004</v>
      </c>
      <c r="S26" s="3"/>
    </row>
    <row r="27" spans="1:19" x14ac:dyDescent="0.75">
      <c r="A27">
        <v>3</v>
      </c>
      <c r="B27" s="3">
        <v>2023</v>
      </c>
      <c r="H27" s="20">
        <f t="shared" si="15"/>
        <v>1878.968718000001</v>
      </c>
      <c r="I27" s="3">
        <f t="shared" si="16"/>
        <v>626.32290600000033</v>
      </c>
      <c r="J27" s="3">
        <f t="shared" si="17"/>
        <v>0</v>
      </c>
      <c r="L27" s="3">
        <f t="shared" si="10"/>
        <v>626.32290600000033</v>
      </c>
      <c r="M27" s="3"/>
      <c r="N27" s="3">
        <f t="shared" si="11"/>
        <v>93.94843590000005</v>
      </c>
      <c r="O27" s="3">
        <f t="shared" si="12"/>
        <v>2160.8140257000014</v>
      </c>
      <c r="Q27" s="3">
        <f t="shared" si="13"/>
        <v>1878.968718000001</v>
      </c>
      <c r="R27" s="3">
        <f t="shared" si="14"/>
        <v>281.84530770000015</v>
      </c>
      <c r="S27" s="3"/>
    </row>
    <row r="28" spans="1:19" x14ac:dyDescent="0.75">
      <c r="A28">
        <v>12</v>
      </c>
      <c r="B28" s="3">
        <v>2024</v>
      </c>
      <c r="H28" s="20">
        <f t="shared" si="15"/>
        <v>7741.3511181600024</v>
      </c>
      <c r="I28" s="3">
        <f t="shared" si="16"/>
        <v>645.1125931800002</v>
      </c>
      <c r="J28" s="3">
        <f t="shared" si="17"/>
        <v>0</v>
      </c>
      <c r="L28" s="3">
        <f t="shared" ref="L28" si="18">L16-F16</f>
        <v>645.1125931800002</v>
      </c>
      <c r="M28" s="3"/>
      <c r="N28" s="3">
        <f t="shared" ref="N28" si="19">N16-H16</f>
        <v>96.766888977000065</v>
      </c>
      <c r="O28" s="3">
        <f t="shared" si="12"/>
        <v>8902.5537858840034</v>
      </c>
      <c r="Q28" s="3">
        <f t="shared" si="13"/>
        <v>7741.3511181600024</v>
      </c>
      <c r="R28" s="3">
        <f t="shared" si="14"/>
        <v>1161.2026677240008</v>
      </c>
      <c r="S28" s="3"/>
    </row>
    <row r="29" spans="1:19" x14ac:dyDescent="0.75">
      <c r="A29">
        <v>4</v>
      </c>
      <c r="B29" s="3">
        <v>2025</v>
      </c>
      <c r="H29" s="20">
        <f t="shared" si="15"/>
        <v>2657.8638839016003</v>
      </c>
      <c r="I29" s="3">
        <f t="shared" si="16"/>
        <v>664.46597097540007</v>
      </c>
      <c r="J29" s="3">
        <f t="shared" si="17"/>
        <v>0</v>
      </c>
      <c r="L29" s="3">
        <f t="shared" ref="L29" si="20">L17-F17</f>
        <v>664.46597097540007</v>
      </c>
      <c r="M29" s="3"/>
      <c r="N29" s="3">
        <f t="shared" ref="N29" si="21">N17-H17</f>
        <v>99.66989564631001</v>
      </c>
      <c r="O29" s="3">
        <f t="shared" ref="O29" si="22">(L29+N29)*A29</f>
        <v>3056.5434664868403</v>
      </c>
      <c r="Q29" s="3">
        <f t="shared" ref="Q29" si="23">L29*A29</f>
        <v>2657.8638839016003</v>
      </c>
      <c r="R29" s="3">
        <f>N29*A29</f>
        <v>398.67958258524004</v>
      </c>
    </row>
    <row r="30" spans="1:19" x14ac:dyDescent="0.75">
      <c r="I30" s="3"/>
    </row>
    <row r="31" spans="1:19" x14ac:dyDescent="0.75">
      <c r="H31" s="9">
        <f>SUM(H20:H29)</f>
        <v>59170.24276906161</v>
      </c>
      <c r="I31" s="3"/>
      <c r="O31" s="9">
        <f>SUM(O20:O29)</f>
        <v>65866.946352215862</v>
      </c>
      <c r="Q31" s="3">
        <f>SUM(Q20:Q29)</f>
        <v>59170.24276906161</v>
      </c>
      <c r="R31" s="3">
        <f>SUM(R20:R29)</f>
        <v>6696.7035831542416</v>
      </c>
    </row>
    <row r="32" spans="1:19" x14ac:dyDescent="0.75">
      <c r="I32" s="3"/>
      <c r="Q32" s="3"/>
      <c r="R32" s="3"/>
    </row>
    <row r="33" spans="9:18" x14ac:dyDescent="0.75">
      <c r="I33" s="3"/>
      <c r="Q33" s="16">
        <f>SUM(Q31:R31)</f>
        <v>65866.946352215848</v>
      </c>
      <c r="R33" s="16"/>
    </row>
    <row r="34" spans="9:18" x14ac:dyDescent="0.75">
      <c r="I34" s="3"/>
    </row>
    <row r="35" spans="9:18" x14ac:dyDescent="0.75">
      <c r="I35" s="3"/>
    </row>
  </sheetData>
  <mergeCells count="3">
    <mergeCell ref="I5:N5"/>
    <mergeCell ref="C5:H5"/>
    <mergeCell ref="I3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9323-A412-4234-9141-7C6737366A25}">
  <dimension ref="A3:X35"/>
  <sheetViews>
    <sheetView rightToLeft="1" tabSelected="1" topLeftCell="A4" workbookViewId="0">
      <selection activeCell="R11" sqref="R11"/>
    </sheetView>
  </sheetViews>
  <sheetFormatPr defaultRowHeight="14.75" x14ac:dyDescent="0.75"/>
  <cols>
    <col min="1" max="1" width="25.86328125" bestFit="1" customWidth="1"/>
    <col min="2" max="3" width="10.54296875" bestFit="1" customWidth="1"/>
    <col min="4" max="5" width="9.54296875" bestFit="1" customWidth="1"/>
    <col min="6" max="6" width="9.7265625" customWidth="1"/>
    <col min="7" max="7" width="9.7265625" hidden="1" customWidth="1"/>
    <col min="8" max="8" width="14.1328125" customWidth="1"/>
    <col min="9" max="9" width="10" customWidth="1"/>
    <col min="10" max="10" width="9.86328125" bestFit="1" customWidth="1"/>
    <col min="11" max="11" width="9.54296875" bestFit="1" customWidth="1"/>
    <col min="12" max="12" width="10.54296875" bestFit="1" customWidth="1"/>
    <col min="13" max="13" width="9.7265625" hidden="1" customWidth="1"/>
    <col min="14" max="14" width="14.1328125" bestFit="1" customWidth="1"/>
    <col min="15" max="15" width="11.40625" bestFit="1" customWidth="1"/>
    <col min="17" max="17" width="14" bestFit="1" customWidth="1"/>
    <col min="18" max="18" width="12.7265625" bestFit="1" customWidth="1"/>
    <col min="19" max="19" width="14.1328125" bestFit="1" customWidth="1"/>
    <col min="21" max="21" width="10.26953125" bestFit="1" customWidth="1"/>
    <col min="25" max="25" width="12.26953125" bestFit="1" customWidth="1"/>
  </cols>
  <sheetData>
    <row r="3" spans="1:24" x14ac:dyDescent="0.75">
      <c r="I3" s="61" t="s">
        <v>11</v>
      </c>
      <c r="J3" s="61"/>
      <c r="K3" s="61"/>
      <c r="L3" s="61"/>
      <c r="M3" s="61"/>
      <c r="N3" s="61"/>
    </row>
    <row r="4" spans="1:24" x14ac:dyDescent="0.75">
      <c r="I4" s="61"/>
      <c r="J4" s="61"/>
      <c r="K4" s="61"/>
      <c r="L4" s="61"/>
      <c r="M4" s="61"/>
      <c r="N4" s="61"/>
    </row>
    <row r="5" spans="1:24" x14ac:dyDescent="0.75">
      <c r="B5" s="14"/>
      <c r="C5" s="60" t="s">
        <v>3</v>
      </c>
      <c r="D5" s="60"/>
      <c r="E5" s="60"/>
      <c r="F5" s="60"/>
      <c r="G5" s="60"/>
      <c r="H5" s="60"/>
      <c r="I5" s="59" t="s">
        <v>4</v>
      </c>
      <c r="J5" s="59"/>
      <c r="K5" s="59"/>
      <c r="L5" s="59"/>
      <c r="M5" s="59"/>
      <c r="N5" s="59"/>
      <c r="T5" t="s">
        <v>48</v>
      </c>
      <c r="V5" s="2"/>
      <c r="W5" s="2"/>
      <c r="X5" s="2"/>
    </row>
    <row r="6" spans="1:24" x14ac:dyDescent="0.75">
      <c r="B6" s="14"/>
      <c r="C6" s="5">
        <v>5</v>
      </c>
      <c r="D6" s="4"/>
      <c r="E6" s="4"/>
      <c r="F6" s="4"/>
      <c r="G6" s="4"/>
      <c r="H6" s="4"/>
      <c r="I6" s="7">
        <v>4.2</v>
      </c>
      <c r="J6" s="7"/>
      <c r="K6" s="7"/>
      <c r="L6" s="7"/>
      <c r="M6" s="7"/>
      <c r="N6" s="7"/>
      <c r="V6" s="1">
        <v>2678</v>
      </c>
      <c r="W6" s="1">
        <f>(V11*0.03)+V8</f>
        <v>2078</v>
      </c>
      <c r="X6" s="1"/>
    </row>
    <row r="7" spans="1:24" x14ac:dyDescent="0.75">
      <c r="B7" s="14"/>
      <c r="C7" s="5" t="s">
        <v>0</v>
      </c>
      <c r="D7" s="4" t="s">
        <v>1</v>
      </c>
      <c r="E7" s="4" t="s">
        <v>9</v>
      </c>
      <c r="F7" s="4" t="s">
        <v>10</v>
      </c>
      <c r="G7" s="4"/>
      <c r="H7" s="4" t="s">
        <v>2</v>
      </c>
      <c r="I7" s="8" t="s">
        <v>0</v>
      </c>
      <c r="J7" s="7" t="s">
        <v>1</v>
      </c>
      <c r="K7" s="7" t="s">
        <v>9</v>
      </c>
      <c r="L7" s="7" t="s">
        <v>10</v>
      </c>
      <c r="M7" s="7"/>
      <c r="N7" s="7" t="s">
        <v>2</v>
      </c>
      <c r="V7" s="1"/>
      <c r="W7" s="1"/>
      <c r="X7" s="1"/>
    </row>
    <row r="8" spans="1:24" x14ac:dyDescent="0.75">
      <c r="B8" s="15">
        <v>2019</v>
      </c>
      <c r="C8" s="6">
        <v>1325</v>
      </c>
      <c r="D8" s="6">
        <v>250</v>
      </c>
      <c r="E8" s="6">
        <v>165</v>
      </c>
      <c r="F8" s="6">
        <f>SUM(C8:E8)</f>
        <v>1740</v>
      </c>
      <c r="G8" s="6"/>
      <c r="H8" s="6">
        <f>C8*0.15</f>
        <v>198.75</v>
      </c>
      <c r="I8" s="11">
        <v>1500</v>
      </c>
      <c r="J8" s="11">
        <v>400</v>
      </c>
      <c r="K8" s="11">
        <v>200</v>
      </c>
      <c r="L8" s="11">
        <f>SUM(I8:K8)</f>
        <v>2100</v>
      </c>
      <c r="M8" s="11"/>
      <c r="N8" s="11">
        <f>I8*0.15</f>
        <v>225</v>
      </c>
      <c r="Q8" s="1"/>
      <c r="R8" s="1"/>
      <c r="S8" s="1"/>
      <c r="U8" s="56" t="s">
        <v>49</v>
      </c>
      <c r="V8" s="57">
        <v>2000</v>
      </c>
      <c r="W8" s="1"/>
      <c r="X8" s="1"/>
    </row>
    <row r="9" spans="1:24" x14ac:dyDescent="0.75">
      <c r="B9" s="15">
        <v>2020</v>
      </c>
      <c r="C9" s="10">
        <f>SUM(C8:E8)*1.03-SUM(D9:E9)</f>
        <v>1377.2</v>
      </c>
      <c r="D9" s="6">
        <v>250</v>
      </c>
      <c r="E9" s="6">
        <v>165</v>
      </c>
      <c r="F9" s="6">
        <f t="shared" ref="F9:F17" si="0">SUM(C9:E9)</f>
        <v>1792.2</v>
      </c>
      <c r="G9" s="6">
        <f>F8*1.03</f>
        <v>1792.2</v>
      </c>
      <c r="H9" s="6">
        <f t="shared" ref="H9:H17" si="1">C9*0.15</f>
        <v>206.58</v>
      </c>
      <c r="I9" s="12">
        <f>SUM(I8:K8)*1.03-SUM(J9:K9)</f>
        <v>1563</v>
      </c>
      <c r="J9" s="11">
        <v>400</v>
      </c>
      <c r="K9" s="11">
        <v>200</v>
      </c>
      <c r="L9" s="11">
        <f t="shared" ref="L9:L13" si="2">SUM(I9:K9)</f>
        <v>2163</v>
      </c>
      <c r="M9" s="11">
        <f>L8*1.03</f>
        <v>2163</v>
      </c>
      <c r="N9" s="11">
        <f>I9*0.15</f>
        <v>234.45</v>
      </c>
      <c r="Q9" s="1"/>
      <c r="R9" s="1"/>
      <c r="S9" s="1"/>
      <c r="U9" s="56" t="s">
        <v>50</v>
      </c>
      <c r="V9" s="57">
        <v>400</v>
      </c>
      <c r="W9" s="1"/>
      <c r="X9" s="1"/>
    </row>
    <row r="10" spans="1:24" x14ac:dyDescent="0.75">
      <c r="B10" s="15">
        <v>2021</v>
      </c>
      <c r="C10" s="10">
        <f>SUM(C9:E9)*1.015-SUM(D10:E10)</f>
        <v>1404.0829999999999</v>
      </c>
      <c r="D10" s="6">
        <v>250</v>
      </c>
      <c r="E10" s="6">
        <v>165</v>
      </c>
      <c r="F10" s="6">
        <f t="shared" si="0"/>
        <v>1819.0829999999999</v>
      </c>
      <c r="G10" s="6">
        <f>F9*1.03</f>
        <v>1845.9660000000001</v>
      </c>
      <c r="H10" s="6">
        <f t="shared" si="1"/>
        <v>210.61244999999997</v>
      </c>
      <c r="I10" s="12">
        <f>SUM(I9:K9)*1.015-SUM(J10:K10)</f>
        <v>1595.4449999999997</v>
      </c>
      <c r="J10" s="11">
        <v>400</v>
      </c>
      <c r="K10" s="11">
        <v>200</v>
      </c>
      <c r="L10" s="11">
        <f t="shared" si="2"/>
        <v>2195.4449999999997</v>
      </c>
      <c r="M10" s="11">
        <f>L9*1.03</f>
        <v>2227.89</v>
      </c>
      <c r="N10" s="11">
        <f t="shared" ref="N10:N17" si="3">I10*0.15</f>
        <v>239.31674999999996</v>
      </c>
      <c r="O10" s="84">
        <f>I10*0.1</f>
        <v>159.54449999999997</v>
      </c>
      <c r="P10" s="84">
        <f>I10*0.15</f>
        <v>239.31674999999996</v>
      </c>
      <c r="Q10" s="86">
        <f>I10*0.05</f>
        <v>79.772249999999985</v>
      </c>
      <c r="R10" s="1">
        <v>6</v>
      </c>
      <c r="S10" s="1"/>
      <c r="U10" s="56" t="s">
        <v>9</v>
      </c>
      <c r="V10" s="57">
        <v>200</v>
      </c>
      <c r="W10" s="1"/>
      <c r="X10" s="1"/>
    </row>
    <row r="11" spans="1:24" x14ac:dyDescent="0.75">
      <c r="A11" t="s">
        <v>13</v>
      </c>
      <c r="B11" s="15">
        <v>2021</v>
      </c>
      <c r="C11" s="10">
        <f>C10</f>
        <v>1404.0829999999999</v>
      </c>
      <c r="D11" s="10">
        <f t="shared" ref="D11:E11" si="4">D10</f>
        <v>250</v>
      </c>
      <c r="E11" s="10">
        <f t="shared" si="4"/>
        <v>165</v>
      </c>
      <c r="F11" s="6">
        <f t="shared" si="0"/>
        <v>1819.0829999999999</v>
      </c>
      <c r="G11" s="6"/>
      <c r="H11" s="6">
        <f>C11*0.105</f>
        <v>147.42871499999998</v>
      </c>
      <c r="I11" s="12">
        <f>I10</f>
        <v>1595.4449999999997</v>
      </c>
      <c r="J11" s="11">
        <v>400</v>
      </c>
      <c r="K11" s="11">
        <v>200</v>
      </c>
      <c r="L11" s="11">
        <f>L10</f>
        <v>2195.4449999999997</v>
      </c>
      <c r="M11" s="11"/>
      <c r="N11" s="11">
        <f>I11*0.105</f>
        <v>167.52172499999998</v>
      </c>
      <c r="O11" s="84">
        <f t="shared" ref="O11:O13" si="5">I11*0.1</f>
        <v>159.54449999999997</v>
      </c>
      <c r="P11" s="84">
        <f t="shared" ref="P11:P16" si="6">I11*0.15</f>
        <v>239.31674999999996</v>
      </c>
      <c r="Q11" s="86">
        <f t="shared" ref="Q11:Q16" si="7">I11*0.05</f>
        <v>79.772249999999985</v>
      </c>
      <c r="R11" s="1"/>
      <c r="S11" s="1"/>
      <c r="U11" s="56" t="s">
        <v>51</v>
      </c>
      <c r="V11" s="58">
        <f>SUM(V8:V10)</f>
        <v>2600</v>
      </c>
      <c r="W11" s="1"/>
      <c r="X11" s="1"/>
    </row>
    <row r="12" spans="1:24" x14ac:dyDescent="0.75">
      <c r="B12" s="15">
        <v>2022</v>
      </c>
      <c r="C12" s="10">
        <f>SUM(C10:E10)*1.03-SUM(D12:E12)</f>
        <v>1458.6554899999999</v>
      </c>
      <c r="D12" s="6">
        <v>250</v>
      </c>
      <c r="E12" s="6">
        <v>165</v>
      </c>
      <c r="F12" s="6">
        <f t="shared" si="0"/>
        <v>1873.6554899999999</v>
      </c>
      <c r="G12" s="6">
        <f>F10*1.03</f>
        <v>1873.6554899999999</v>
      </c>
      <c r="H12" s="6">
        <f>C12*0.105</f>
        <v>153.15882644999999</v>
      </c>
      <c r="I12" s="12">
        <f>SUM(I10:K10)*1.03-SUM(J12:K12)</f>
        <v>1661.3083499999998</v>
      </c>
      <c r="J12" s="11">
        <v>400</v>
      </c>
      <c r="K12" s="11">
        <v>200</v>
      </c>
      <c r="L12" s="11">
        <f t="shared" si="2"/>
        <v>2261.3083499999998</v>
      </c>
      <c r="M12" s="11">
        <f>L10*1.03</f>
        <v>2261.3083499999998</v>
      </c>
      <c r="N12" s="11">
        <f>I12*0.105</f>
        <v>174.43737674999997</v>
      </c>
      <c r="O12" s="84">
        <f t="shared" si="5"/>
        <v>166.13083499999999</v>
      </c>
      <c r="P12" s="84">
        <f t="shared" si="6"/>
        <v>249.19625249999996</v>
      </c>
      <c r="Q12" s="86">
        <f t="shared" si="7"/>
        <v>83.065417499999995</v>
      </c>
      <c r="R12" s="1"/>
      <c r="S12" s="1"/>
      <c r="V12" s="1"/>
      <c r="W12" s="1"/>
      <c r="X12" s="1"/>
    </row>
    <row r="13" spans="1:24" x14ac:dyDescent="0.75">
      <c r="B13" s="15">
        <v>2023</v>
      </c>
      <c r="C13" s="10">
        <f>SUM(C12:E12)*1.03-SUM(D13:E13)</f>
        <v>1514.8651546999999</v>
      </c>
      <c r="D13" s="6">
        <v>250</v>
      </c>
      <c r="E13" s="6">
        <v>165</v>
      </c>
      <c r="F13" s="6">
        <f t="shared" si="0"/>
        <v>1929.8651546999999</v>
      </c>
      <c r="G13" s="6">
        <f>F12*1.03</f>
        <v>1929.8651546999999</v>
      </c>
      <c r="H13" s="6">
        <f>C13*0.105</f>
        <v>159.06084124349999</v>
      </c>
      <c r="I13" s="12">
        <f>SUM(I12:K12)*1.03-SUM(J13:K13)</f>
        <v>1729.1476005</v>
      </c>
      <c r="J13" s="11">
        <v>400</v>
      </c>
      <c r="K13" s="11">
        <v>200</v>
      </c>
      <c r="L13" s="11">
        <f t="shared" si="2"/>
        <v>2329.1476005</v>
      </c>
      <c r="M13" s="11">
        <f>L12*1.03</f>
        <v>2329.1476005</v>
      </c>
      <c r="N13" s="11">
        <f>I13*0.105</f>
        <v>181.56049805249998</v>
      </c>
      <c r="O13" s="84">
        <f t="shared" si="5"/>
        <v>172.91476005000001</v>
      </c>
      <c r="P13" s="84">
        <f t="shared" si="6"/>
        <v>259.372140075</v>
      </c>
      <c r="Q13" s="86">
        <f t="shared" si="7"/>
        <v>86.457380025000006</v>
      </c>
      <c r="R13" s="1"/>
      <c r="S13" s="1"/>
      <c r="V13" s="1"/>
      <c r="W13" s="1" t="s">
        <v>16</v>
      </c>
      <c r="X13" s="1"/>
    </row>
    <row r="14" spans="1:24" x14ac:dyDescent="0.75">
      <c r="A14" t="s">
        <v>8</v>
      </c>
      <c r="B14" s="15">
        <v>2023</v>
      </c>
      <c r="C14" s="10">
        <v>1700</v>
      </c>
      <c r="D14" s="6">
        <v>400</v>
      </c>
      <c r="E14" s="6">
        <v>200</v>
      </c>
      <c r="F14" s="6">
        <f t="shared" si="0"/>
        <v>2300</v>
      </c>
      <c r="G14" s="6">
        <v>2300</v>
      </c>
      <c r="H14" s="6">
        <f>C14*0.105</f>
        <v>178.5</v>
      </c>
      <c r="I14" s="12">
        <f>I13</f>
        <v>1729.1476005</v>
      </c>
      <c r="J14" s="12">
        <f t="shared" ref="J14:K15" si="8">J13</f>
        <v>400</v>
      </c>
      <c r="K14" s="12">
        <f t="shared" si="8"/>
        <v>200</v>
      </c>
      <c r="L14" s="12">
        <f>L13</f>
        <v>2329.1476005</v>
      </c>
      <c r="M14" s="11"/>
      <c r="N14" s="11">
        <f>I14*0.105</f>
        <v>181.56049805249998</v>
      </c>
      <c r="O14" s="84">
        <f>I14*0.1</f>
        <v>172.91476005000001</v>
      </c>
      <c r="P14" s="84">
        <f t="shared" si="6"/>
        <v>259.372140075</v>
      </c>
      <c r="Q14" s="86">
        <f t="shared" si="7"/>
        <v>86.457380025000006</v>
      </c>
      <c r="R14" s="1"/>
      <c r="S14" s="1"/>
      <c r="V14" s="1"/>
      <c r="W14" s="1"/>
      <c r="X14" s="1"/>
    </row>
    <row r="15" spans="1:24" x14ac:dyDescent="0.75">
      <c r="A15" t="s">
        <v>12</v>
      </c>
      <c r="B15" s="15">
        <v>2023</v>
      </c>
      <c r="C15" s="10">
        <v>1700</v>
      </c>
      <c r="D15" s="6">
        <v>400</v>
      </c>
      <c r="E15" s="6">
        <v>200</v>
      </c>
      <c r="F15" s="6">
        <f t="shared" ref="F15" si="9">SUM(C15:E15)</f>
        <v>2300</v>
      </c>
      <c r="G15" s="6">
        <v>2300</v>
      </c>
      <c r="H15" s="6">
        <f t="shared" si="1"/>
        <v>255</v>
      </c>
      <c r="I15" s="12">
        <f>I13</f>
        <v>1729.1476005</v>
      </c>
      <c r="J15" s="12">
        <f t="shared" si="8"/>
        <v>400</v>
      </c>
      <c r="K15" s="12">
        <f t="shared" si="8"/>
        <v>200</v>
      </c>
      <c r="L15" s="12">
        <f>L13</f>
        <v>2329.1476005</v>
      </c>
      <c r="M15" s="11"/>
      <c r="N15" s="11">
        <f t="shared" si="3"/>
        <v>259.372140075</v>
      </c>
      <c r="O15" s="84">
        <f>I15*0.1</f>
        <v>172.91476005000001</v>
      </c>
      <c r="P15" s="84">
        <f t="shared" si="6"/>
        <v>259.372140075</v>
      </c>
      <c r="Q15" s="86">
        <f t="shared" si="7"/>
        <v>86.457380025000006</v>
      </c>
      <c r="R15" s="1"/>
      <c r="S15" s="1"/>
      <c r="V15" s="1"/>
      <c r="W15" s="1"/>
      <c r="X15" s="1"/>
    </row>
    <row r="16" spans="1:24" x14ac:dyDescent="0.75">
      <c r="B16" s="15">
        <v>2024</v>
      </c>
      <c r="C16" s="10">
        <f>SUM(C15:E15)*1.03-SUM(D15:E15)</f>
        <v>1769</v>
      </c>
      <c r="D16" s="10">
        <v>400</v>
      </c>
      <c r="E16" s="6">
        <v>200</v>
      </c>
      <c r="F16" s="6">
        <f t="shared" si="0"/>
        <v>2369</v>
      </c>
      <c r="G16" s="6">
        <f>F15*1.03</f>
        <v>2369</v>
      </c>
      <c r="H16" s="6">
        <f t="shared" si="1"/>
        <v>265.34999999999997</v>
      </c>
      <c r="I16" s="12">
        <f>SUM(I15:K15)*1.03-SUM(J16:K16)</f>
        <v>1799.0220285149999</v>
      </c>
      <c r="J16" s="11">
        <v>400</v>
      </c>
      <c r="K16" s="11">
        <v>200</v>
      </c>
      <c r="L16" s="11">
        <f>SUM(I16:K16)</f>
        <v>2399.0220285149999</v>
      </c>
      <c r="M16" s="11">
        <f>L15*1.03</f>
        <v>2399.0220285149999</v>
      </c>
      <c r="N16" s="11">
        <f t="shared" si="3"/>
        <v>269.85330427724995</v>
      </c>
      <c r="O16" s="84">
        <f t="shared" ref="O16" si="10">I16*0.1</f>
        <v>179.90220285149999</v>
      </c>
      <c r="P16" s="84">
        <f t="shared" si="6"/>
        <v>269.85330427724995</v>
      </c>
      <c r="Q16" s="86">
        <f t="shared" si="7"/>
        <v>89.951101425749997</v>
      </c>
      <c r="R16" s="1"/>
      <c r="S16" s="1"/>
    </row>
    <row r="17" spans="1:20" x14ac:dyDescent="0.75">
      <c r="B17" s="15">
        <v>2025</v>
      </c>
      <c r="C17" s="10">
        <f>SUM(C16:E16)*1.03-SUM(D16:E16)</f>
        <v>1840.0700000000002</v>
      </c>
      <c r="D17" s="10">
        <v>400</v>
      </c>
      <c r="E17" s="6">
        <v>200</v>
      </c>
      <c r="F17" s="6">
        <f t="shared" si="0"/>
        <v>2440.0700000000002</v>
      </c>
      <c r="G17" s="6">
        <f>F16*1.03</f>
        <v>2440.0700000000002</v>
      </c>
      <c r="H17" s="6">
        <f t="shared" si="1"/>
        <v>276.01050000000004</v>
      </c>
      <c r="I17" s="52">
        <f>SUM(I16:K16)*1.03-SUM(J17:K17)</f>
        <v>1870.9926893704501</v>
      </c>
      <c r="J17" s="13">
        <v>400</v>
      </c>
      <c r="K17" s="13">
        <v>200</v>
      </c>
      <c r="L17" s="13">
        <f>SUM(I17:K17)</f>
        <v>2470.9926893704501</v>
      </c>
      <c r="M17" s="11">
        <f>L16*1.03</f>
        <v>2470.9926893704501</v>
      </c>
      <c r="N17" s="11">
        <f t="shared" si="3"/>
        <v>280.64890340556752</v>
      </c>
      <c r="T17" s="3"/>
    </row>
    <row r="18" spans="1:20" x14ac:dyDescent="0.75">
      <c r="L18" s="61"/>
      <c r="M18" s="61"/>
    </row>
    <row r="19" spans="1:20" ht="42" customHeight="1" x14ac:dyDescent="0.75">
      <c r="A19" s="50" t="s">
        <v>6</v>
      </c>
      <c r="B19" s="50" t="s">
        <v>7</v>
      </c>
      <c r="C19" s="2" t="s">
        <v>42</v>
      </c>
      <c r="D19" s="50" t="s">
        <v>17</v>
      </c>
      <c r="E19" s="50" t="s">
        <v>40</v>
      </c>
      <c r="F19" s="50" t="s">
        <v>41</v>
      </c>
      <c r="G19" s="50"/>
      <c r="H19" s="50" t="s">
        <v>37</v>
      </c>
      <c r="I19" s="50"/>
      <c r="J19" s="50"/>
      <c r="K19" s="50" t="s">
        <v>5</v>
      </c>
      <c r="L19" s="50" t="s">
        <v>43</v>
      </c>
      <c r="M19" s="50"/>
      <c r="N19" s="50" t="s">
        <v>44</v>
      </c>
    </row>
    <row r="20" spans="1:20" x14ac:dyDescent="0.75">
      <c r="A20">
        <v>8</v>
      </c>
      <c r="B20" s="3">
        <v>2019</v>
      </c>
      <c r="C20" s="20">
        <f t="shared" ref="C20:C29" si="11">(D20+E20)*A20</f>
        <v>2880</v>
      </c>
      <c r="D20" s="3">
        <f t="shared" ref="D20:D29" si="12">I8-C8</f>
        <v>175</v>
      </c>
      <c r="E20" s="3">
        <f t="shared" ref="E20:E29" si="13">SUM(J8:K8)-SUM(D8:E8)</f>
        <v>185</v>
      </c>
      <c r="F20" s="3">
        <f t="shared" ref="F20:F29" si="14">L8-F8</f>
        <v>360</v>
      </c>
      <c r="H20" s="3">
        <f t="shared" ref="H20:H29" si="15">N8-H8</f>
        <v>26.25</v>
      </c>
      <c r="K20" s="47">
        <f t="shared" ref="K20:K29" si="16">(F20+H20)*A20</f>
        <v>3090</v>
      </c>
      <c r="L20" s="47">
        <f t="shared" ref="L20:L29" si="17">F20*A20</f>
        <v>2880</v>
      </c>
      <c r="N20" s="47">
        <f t="shared" ref="N20:N29" si="18">H20*A20</f>
        <v>210</v>
      </c>
      <c r="Q20" s="85">
        <v>0.05</v>
      </c>
      <c r="R20" s="85">
        <v>0.1</v>
      </c>
      <c r="S20" s="85">
        <v>0.15</v>
      </c>
    </row>
    <row r="21" spans="1:20" x14ac:dyDescent="0.75">
      <c r="A21">
        <v>12</v>
      </c>
      <c r="B21" s="3">
        <v>2020</v>
      </c>
      <c r="C21" s="20">
        <f t="shared" si="11"/>
        <v>4449.5999999999995</v>
      </c>
      <c r="D21" s="3">
        <f t="shared" si="12"/>
        <v>185.79999999999995</v>
      </c>
      <c r="E21" s="3">
        <f t="shared" si="13"/>
        <v>185</v>
      </c>
      <c r="F21" s="3">
        <f t="shared" si="14"/>
        <v>370.79999999999995</v>
      </c>
      <c r="H21" s="3">
        <f t="shared" si="15"/>
        <v>27.869999999999976</v>
      </c>
      <c r="K21" s="47">
        <f t="shared" si="16"/>
        <v>4784.0399999999991</v>
      </c>
      <c r="L21" s="47">
        <f t="shared" si="17"/>
        <v>4449.5999999999995</v>
      </c>
      <c r="N21" s="47">
        <f t="shared" si="18"/>
        <v>334.43999999999971</v>
      </c>
    </row>
    <row r="22" spans="1:20" x14ac:dyDescent="0.75">
      <c r="A22">
        <v>9</v>
      </c>
      <c r="B22" s="3">
        <v>2021</v>
      </c>
      <c r="C22" s="20">
        <f t="shared" si="11"/>
        <v>3387.2579999999989</v>
      </c>
      <c r="D22" s="3">
        <f t="shared" si="12"/>
        <v>191.36199999999985</v>
      </c>
      <c r="E22" s="3">
        <f t="shared" si="13"/>
        <v>185</v>
      </c>
      <c r="F22" s="3">
        <f t="shared" si="14"/>
        <v>376.36199999999985</v>
      </c>
      <c r="H22" s="3">
        <f t="shared" si="15"/>
        <v>28.704299999999989</v>
      </c>
      <c r="K22" s="47">
        <f t="shared" si="16"/>
        <v>3645.5966999999987</v>
      </c>
      <c r="L22" s="47">
        <f t="shared" si="17"/>
        <v>3387.2579999999989</v>
      </c>
      <c r="N22" s="47">
        <f t="shared" si="18"/>
        <v>258.3386999999999</v>
      </c>
    </row>
    <row r="23" spans="1:20" x14ac:dyDescent="0.75">
      <c r="A23">
        <v>3</v>
      </c>
      <c r="B23" s="3">
        <v>2021</v>
      </c>
      <c r="C23" s="20">
        <f t="shared" si="11"/>
        <v>1129.0859999999996</v>
      </c>
      <c r="D23" s="3">
        <f t="shared" si="12"/>
        <v>191.36199999999985</v>
      </c>
      <c r="E23" s="3">
        <f t="shared" si="13"/>
        <v>185</v>
      </c>
      <c r="F23" s="3">
        <f t="shared" si="14"/>
        <v>376.36199999999985</v>
      </c>
      <c r="H23" s="3">
        <f t="shared" si="15"/>
        <v>20.093009999999992</v>
      </c>
      <c r="K23" s="47">
        <f t="shared" si="16"/>
        <v>1189.3650299999995</v>
      </c>
      <c r="L23" s="47">
        <f t="shared" si="17"/>
        <v>1129.0859999999996</v>
      </c>
      <c r="N23" s="47">
        <f t="shared" si="18"/>
        <v>60.279029999999977</v>
      </c>
    </row>
    <row r="24" spans="1:20" x14ac:dyDescent="0.75">
      <c r="A24">
        <v>12</v>
      </c>
      <c r="B24" s="3">
        <v>2022</v>
      </c>
      <c r="C24" s="20">
        <f t="shared" si="11"/>
        <v>4651.834319999999</v>
      </c>
      <c r="D24" s="3">
        <f t="shared" si="12"/>
        <v>202.65285999999992</v>
      </c>
      <c r="E24" s="3">
        <f t="shared" si="13"/>
        <v>185</v>
      </c>
      <c r="F24" s="3">
        <f t="shared" si="14"/>
        <v>387.65285999999992</v>
      </c>
      <c r="H24" s="3">
        <f t="shared" si="15"/>
        <v>21.278550299999978</v>
      </c>
      <c r="K24" s="47">
        <f t="shared" si="16"/>
        <v>4907.1769235999991</v>
      </c>
      <c r="L24" s="47">
        <f t="shared" si="17"/>
        <v>4651.834319999999</v>
      </c>
      <c r="N24" s="47">
        <f t="shared" si="18"/>
        <v>255.34260359999973</v>
      </c>
    </row>
    <row r="25" spans="1:20" x14ac:dyDescent="0.75">
      <c r="A25">
        <v>5</v>
      </c>
      <c r="B25" s="3">
        <v>2023</v>
      </c>
      <c r="C25" s="20">
        <f t="shared" si="11"/>
        <v>1996.412229</v>
      </c>
      <c r="D25" s="3">
        <f t="shared" si="12"/>
        <v>214.2824458</v>
      </c>
      <c r="E25" s="3">
        <f t="shared" si="13"/>
        <v>185</v>
      </c>
      <c r="F25" s="3">
        <f t="shared" si="14"/>
        <v>399.2824458</v>
      </c>
      <c r="H25" s="3">
        <f t="shared" si="15"/>
        <v>22.499656808999987</v>
      </c>
      <c r="K25" s="47">
        <f t="shared" si="16"/>
        <v>2108.9105130449998</v>
      </c>
      <c r="L25" s="47">
        <f t="shared" si="17"/>
        <v>1996.412229</v>
      </c>
      <c r="N25" s="47">
        <f t="shared" si="18"/>
        <v>112.49828404499993</v>
      </c>
    </row>
    <row r="26" spans="1:20" x14ac:dyDescent="0.75">
      <c r="A26">
        <v>4</v>
      </c>
      <c r="B26" s="3">
        <v>2023</v>
      </c>
      <c r="C26" s="20">
        <f t="shared" si="11"/>
        <v>116.59040199999981</v>
      </c>
      <c r="D26" s="3">
        <f t="shared" si="12"/>
        <v>29.147600499999953</v>
      </c>
      <c r="E26" s="3">
        <f t="shared" si="13"/>
        <v>0</v>
      </c>
      <c r="F26" s="3">
        <f t="shared" si="14"/>
        <v>29.147600499999953</v>
      </c>
      <c r="H26" s="3">
        <f t="shared" si="15"/>
        <v>3.0604980524999803</v>
      </c>
      <c r="K26" s="47">
        <f t="shared" si="16"/>
        <v>128.83239420999973</v>
      </c>
      <c r="L26" s="47">
        <f t="shared" si="17"/>
        <v>116.59040199999981</v>
      </c>
      <c r="N26" s="47">
        <f t="shared" si="18"/>
        <v>12.241992209999921</v>
      </c>
    </row>
    <row r="27" spans="1:20" x14ac:dyDescent="0.75">
      <c r="A27">
        <v>3</v>
      </c>
      <c r="B27" s="3">
        <v>2023</v>
      </c>
      <c r="C27" s="20">
        <f t="shared" si="11"/>
        <v>87.44280149999986</v>
      </c>
      <c r="D27" s="3">
        <f t="shared" si="12"/>
        <v>29.147600499999953</v>
      </c>
      <c r="E27" s="3">
        <f t="shared" si="13"/>
        <v>0</v>
      </c>
      <c r="F27" s="3">
        <f t="shared" si="14"/>
        <v>29.147600499999953</v>
      </c>
      <c r="H27" s="3">
        <f t="shared" si="15"/>
        <v>4.3721400750000043</v>
      </c>
      <c r="K27" s="47">
        <f t="shared" si="16"/>
        <v>100.55922172499987</v>
      </c>
      <c r="L27" s="47">
        <f t="shared" si="17"/>
        <v>87.44280149999986</v>
      </c>
      <c r="N27" s="47">
        <f t="shared" si="18"/>
        <v>13.116420225000013</v>
      </c>
    </row>
    <row r="28" spans="1:20" x14ac:dyDescent="0.75">
      <c r="A28">
        <v>12</v>
      </c>
      <c r="B28" s="3">
        <v>2024</v>
      </c>
      <c r="C28" s="20">
        <f t="shared" si="11"/>
        <v>360.26434217999849</v>
      </c>
      <c r="D28" s="3">
        <f t="shared" si="12"/>
        <v>30.022028514999874</v>
      </c>
      <c r="E28" s="3">
        <f t="shared" si="13"/>
        <v>0</v>
      </c>
      <c r="F28" s="3">
        <f t="shared" si="14"/>
        <v>30.022028514999874</v>
      </c>
      <c r="H28" s="3">
        <f t="shared" si="15"/>
        <v>4.5033042772499812</v>
      </c>
      <c r="K28" s="47">
        <f t="shared" si="16"/>
        <v>414.30399350699827</v>
      </c>
      <c r="L28" s="47">
        <f t="shared" si="17"/>
        <v>360.26434217999849</v>
      </c>
      <c r="N28" s="47">
        <f t="shared" si="18"/>
        <v>54.039651326999774</v>
      </c>
    </row>
    <row r="29" spans="1:20" x14ac:dyDescent="0.75">
      <c r="A29">
        <v>4</v>
      </c>
      <c r="B29" s="3">
        <v>2025</v>
      </c>
      <c r="C29" s="20">
        <f t="shared" si="11"/>
        <v>123.69075748179966</v>
      </c>
      <c r="D29" s="3">
        <f t="shared" si="12"/>
        <v>30.922689370449916</v>
      </c>
      <c r="E29" s="3">
        <f t="shared" si="13"/>
        <v>0</v>
      </c>
      <c r="F29" s="3">
        <f t="shared" si="14"/>
        <v>30.922689370449916</v>
      </c>
      <c r="H29" s="3">
        <f t="shared" si="15"/>
        <v>4.6384034055674874</v>
      </c>
      <c r="K29" s="47">
        <f t="shared" si="16"/>
        <v>142.24437110406961</v>
      </c>
      <c r="L29" s="47">
        <f t="shared" si="17"/>
        <v>123.69075748179966</v>
      </c>
      <c r="N29" s="47">
        <f t="shared" si="18"/>
        <v>18.55361362226995</v>
      </c>
    </row>
    <row r="31" spans="1:20" x14ac:dyDescent="0.75">
      <c r="B31" s="49" t="s">
        <v>39</v>
      </c>
      <c r="C31" s="51">
        <f>SUM(C20:C29)</f>
        <v>19182.1788521618</v>
      </c>
      <c r="I31" s="3"/>
      <c r="K31" s="48">
        <f>SUM(K20:K29)</f>
        <v>20511.029147191064</v>
      </c>
      <c r="L31" s="47">
        <f>SUM(L20:L29)</f>
        <v>19182.1788521618</v>
      </c>
      <c r="N31" s="47">
        <f>SUM(N20:N29)</f>
        <v>1328.8502950292689</v>
      </c>
    </row>
    <row r="32" spans="1:20" x14ac:dyDescent="0.75">
      <c r="B32" s="49" t="s">
        <v>38</v>
      </c>
      <c r="C32" s="47">
        <f>C31+N31</f>
        <v>20511.029147191068</v>
      </c>
      <c r="I32" s="3"/>
    </row>
    <row r="33" spans="9:15" x14ac:dyDescent="0.75">
      <c r="I33" s="3"/>
      <c r="N33" s="3"/>
      <c r="O33" s="3"/>
    </row>
    <row r="34" spans="9:15" x14ac:dyDescent="0.75">
      <c r="I34" s="3"/>
      <c r="N34" s="16"/>
      <c r="O34" s="16"/>
    </row>
    <row r="35" spans="9:15" x14ac:dyDescent="0.75">
      <c r="I35" s="3"/>
    </row>
  </sheetData>
  <mergeCells count="4">
    <mergeCell ref="I3:N4"/>
    <mergeCell ref="C5:H5"/>
    <mergeCell ref="I5:N5"/>
    <mergeCell ref="L18:M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8C31-8CA3-43B3-93EB-F6EEF489ED81}">
  <dimension ref="H3:S19"/>
  <sheetViews>
    <sheetView topLeftCell="D1" workbookViewId="0">
      <selection activeCell="M15" sqref="M15"/>
    </sheetView>
  </sheetViews>
  <sheetFormatPr defaultRowHeight="14.75" x14ac:dyDescent="0.75"/>
  <cols>
    <col min="8" max="8" width="25.7265625" bestFit="1" customWidth="1"/>
    <col min="9" max="9" width="4.40625" customWidth="1"/>
    <col min="10" max="10" width="18.6328125" bestFit="1" customWidth="1"/>
    <col min="11" max="11" width="18.26953125" bestFit="1" customWidth="1"/>
    <col min="12" max="12" width="18.26953125" customWidth="1"/>
    <col min="13" max="13" width="9.2265625" bestFit="1" customWidth="1"/>
  </cols>
  <sheetData>
    <row r="3" spans="8:19" x14ac:dyDescent="0.75">
      <c r="O3">
        <v>2019</v>
      </c>
      <c r="P3">
        <v>8</v>
      </c>
      <c r="Q3">
        <v>175</v>
      </c>
      <c r="R3">
        <v>185</v>
      </c>
      <c r="S3">
        <f t="shared" ref="S3:S9" si="0">P3*Q3</f>
        <v>1400</v>
      </c>
    </row>
    <row r="4" spans="8:19" x14ac:dyDescent="0.75">
      <c r="O4">
        <v>2020</v>
      </c>
      <c r="P4">
        <v>12</v>
      </c>
      <c r="Q4">
        <v>185.8</v>
      </c>
      <c r="R4">
        <v>185</v>
      </c>
      <c r="S4">
        <f t="shared" si="0"/>
        <v>2229.6000000000004</v>
      </c>
    </row>
    <row r="5" spans="8:19" x14ac:dyDescent="0.75">
      <c r="O5">
        <v>2021</v>
      </c>
      <c r="P5">
        <v>12</v>
      </c>
      <c r="Q5">
        <v>223.80699999999999</v>
      </c>
      <c r="R5">
        <v>185</v>
      </c>
      <c r="S5">
        <f t="shared" si="0"/>
        <v>2685.6839999999997</v>
      </c>
    </row>
    <row r="6" spans="8:19" x14ac:dyDescent="0.75">
      <c r="H6" t="s">
        <v>52</v>
      </c>
      <c r="J6" t="s">
        <v>53</v>
      </c>
      <c r="K6" t="s">
        <v>54</v>
      </c>
      <c r="L6" s="1" t="s">
        <v>58</v>
      </c>
      <c r="M6" t="s">
        <v>55</v>
      </c>
      <c r="O6">
        <v>2022</v>
      </c>
      <c r="P6">
        <v>12</v>
      </c>
      <c r="Q6">
        <v>236.072</v>
      </c>
      <c r="R6">
        <v>185</v>
      </c>
      <c r="S6">
        <f t="shared" si="0"/>
        <v>2832.864</v>
      </c>
    </row>
    <row r="7" spans="8:19" x14ac:dyDescent="0.75">
      <c r="H7">
        <v>2019</v>
      </c>
      <c r="I7">
        <v>8</v>
      </c>
      <c r="J7">
        <v>175</v>
      </c>
      <c r="K7">
        <v>185</v>
      </c>
      <c r="L7">
        <f>J7+K7</f>
        <v>360</v>
      </c>
      <c r="M7">
        <f>L7*I7</f>
        <v>2880</v>
      </c>
      <c r="O7">
        <v>2023</v>
      </c>
      <c r="P7">
        <v>6</v>
      </c>
      <c r="Q7">
        <v>248.70400000000001</v>
      </c>
      <c r="R7">
        <v>185</v>
      </c>
      <c r="S7">
        <f t="shared" si="0"/>
        <v>1492.2240000000002</v>
      </c>
    </row>
    <row r="8" spans="8:19" x14ac:dyDescent="0.75">
      <c r="H8">
        <v>2020</v>
      </c>
      <c r="I8">
        <v>12</v>
      </c>
      <c r="J8">
        <v>185.8</v>
      </c>
      <c r="K8">
        <v>185</v>
      </c>
      <c r="L8">
        <f t="shared" ref="L8:L14" si="1">J8+K8</f>
        <v>370.8</v>
      </c>
      <c r="M8">
        <f t="shared" ref="M8:M14" si="2">L8*I8</f>
        <v>4449.6000000000004</v>
      </c>
      <c r="O8">
        <v>2023</v>
      </c>
      <c r="P8">
        <v>6</v>
      </c>
      <c r="Q8">
        <v>63.569000000000003</v>
      </c>
      <c r="R8">
        <v>0</v>
      </c>
      <c r="S8">
        <f t="shared" si="0"/>
        <v>381.41399999999999</v>
      </c>
    </row>
    <row r="9" spans="8:19" x14ac:dyDescent="0.75">
      <c r="H9">
        <v>2021</v>
      </c>
      <c r="I9">
        <v>12</v>
      </c>
      <c r="J9">
        <v>223.80699999999999</v>
      </c>
      <c r="K9">
        <v>185</v>
      </c>
      <c r="L9">
        <f t="shared" si="1"/>
        <v>408.80700000000002</v>
      </c>
      <c r="M9">
        <f t="shared" si="2"/>
        <v>4905.6840000000002</v>
      </c>
      <c r="O9">
        <v>2024</v>
      </c>
      <c r="P9">
        <v>12</v>
      </c>
      <c r="Q9">
        <v>65.475999999999999</v>
      </c>
      <c r="R9">
        <v>0</v>
      </c>
      <c r="S9">
        <f t="shared" si="0"/>
        <v>785.71199999999999</v>
      </c>
    </row>
    <row r="10" spans="8:19" x14ac:dyDescent="0.75">
      <c r="H10">
        <v>2022</v>
      </c>
      <c r="I10">
        <v>12</v>
      </c>
      <c r="J10">
        <v>236.072</v>
      </c>
      <c r="K10">
        <v>185</v>
      </c>
      <c r="L10">
        <f t="shared" si="1"/>
        <v>421.072</v>
      </c>
      <c r="M10">
        <f t="shared" si="2"/>
        <v>5052.8639999999996</v>
      </c>
      <c r="O10">
        <v>2025</v>
      </c>
      <c r="P10">
        <v>5</v>
      </c>
      <c r="Q10">
        <v>67.44</v>
      </c>
      <c r="R10">
        <v>0</v>
      </c>
      <c r="S10">
        <f>P10*Q10</f>
        <v>337.2</v>
      </c>
    </row>
    <row r="11" spans="8:19" x14ac:dyDescent="0.75">
      <c r="H11">
        <v>2023</v>
      </c>
      <c r="I11">
        <v>6</v>
      </c>
      <c r="J11">
        <v>248.70400000000001</v>
      </c>
      <c r="K11">
        <v>185</v>
      </c>
      <c r="L11">
        <f t="shared" si="1"/>
        <v>433.70400000000001</v>
      </c>
      <c r="M11">
        <f t="shared" si="2"/>
        <v>2602.2240000000002</v>
      </c>
    </row>
    <row r="12" spans="8:19" x14ac:dyDescent="0.75">
      <c r="H12">
        <v>2023</v>
      </c>
      <c r="I12">
        <v>6</v>
      </c>
      <c r="J12">
        <v>63.569000000000003</v>
      </c>
      <c r="K12">
        <v>0</v>
      </c>
      <c r="L12">
        <f t="shared" si="1"/>
        <v>63.569000000000003</v>
      </c>
      <c r="M12">
        <f t="shared" si="2"/>
        <v>381.41399999999999</v>
      </c>
    </row>
    <row r="13" spans="8:19" x14ac:dyDescent="0.75">
      <c r="H13">
        <v>2024</v>
      </c>
      <c r="I13">
        <v>12</v>
      </c>
      <c r="J13">
        <v>65.475999999999999</v>
      </c>
      <c r="K13">
        <v>0</v>
      </c>
      <c r="L13">
        <f t="shared" si="1"/>
        <v>65.475999999999999</v>
      </c>
      <c r="M13">
        <f t="shared" si="2"/>
        <v>785.71199999999999</v>
      </c>
    </row>
    <row r="14" spans="8:19" x14ac:dyDescent="0.75">
      <c r="H14">
        <v>2025</v>
      </c>
      <c r="I14">
        <v>5</v>
      </c>
      <c r="J14">
        <v>67.44</v>
      </c>
      <c r="K14">
        <v>0</v>
      </c>
      <c r="L14">
        <f t="shared" si="1"/>
        <v>67.44</v>
      </c>
      <c r="M14">
        <f t="shared" si="2"/>
        <v>337.2</v>
      </c>
    </row>
    <row r="15" spans="8:19" x14ac:dyDescent="0.75">
      <c r="H15" t="s">
        <v>56</v>
      </c>
      <c r="K15" t="s">
        <v>57</v>
      </c>
      <c r="M15" s="84">
        <f>SUM(M7:M14)</f>
        <v>21394.698000000004</v>
      </c>
    </row>
    <row r="19" spans="17:17" x14ac:dyDescent="0.75">
      <c r="Q19">
        <f>360*8</f>
        <v>2880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FEFE-185D-4B6D-9E01-69D55F14637B}">
  <dimension ref="F2:P26"/>
  <sheetViews>
    <sheetView rightToLeft="1" workbookViewId="0">
      <selection activeCell="D14" sqref="D14"/>
    </sheetView>
  </sheetViews>
  <sheetFormatPr defaultRowHeight="14.75" x14ac:dyDescent="0.75"/>
  <cols>
    <col min="6" max="6" width="17.86328125" bestFit="1" customWidth="1"/>
    <col min="7" max="7" width="8.40625" bestFit="1" customWidth="1"/>
    <col min="8" max="8" width="19" bestFit="1" customWidth="1"/>
    <col min="9" max="9" width="8.7265625" bestFit="1" customWidth="1"/>
    <col min="10" max="10" width="17.7265625" bestFit="1" customWidth="1"/>
    <col min="11" max="11" width="9" bestFit="1" customWidth="1"/>
    <col min="12" max="12" width="9.1328125" bestFit="1" customWidth="1"/>
    <col min="13" max="13" width="9.40625" bestFit="1" customWidth="1"/>
    <col min="14" max="14" width="8.7265625" bestFit="1" customWidth="1"/>
    <col min="15" max="15" width="10.26953125" bestFit="1" customWidth="1"/>
    <col min="16" max="16" width="8.7265625" bestFit="1" customWidth="1"/>
  </cols>
  <sheetData>
    <row r="2" spans="6:16" ht="15.5" thickBot="1" x14ac:dyDescent="0.9"/>
    <row r="3" spans="6:16" ht="15.5" thickBot="1" x14ac:dyDescent="0.9">
      <c r="F3" s="62" t="s">
        <v>19</v>
      </c>
      <c r="G3" s="63"/>
      <c r="H3" s="63"/>
      <c r="I3" s="63"/>
      <c r="J3" s="63"/>
      <c r="K3" s="63"/>
      <c r="L3" s="63"/>
      <c r="M3" s="63"/>
      <c r="N3" s="63"/>
      <c r="O3" s="63"/>
      <c r="P3" s="64"/>
    </row>
    <row r="4" spans="6:16" ht="15.5" thickBot="1" x14ac:dyDescent="0.9">
      <c r="F4" s="21"/>
      <c r="G4" s="65" t="s">
        <v>20</v>
      </c>
      <c r="H4" s="66"/>
      <c r="I4" s="66"/>
      <c r="J4" s="66"/>
      <c r="K4" s="67"/>
      <c r="L4" s="68" t="s">
        <v>21</v>
      </c>
      <c r="M4" s="69"/>
      <c r="N4" s="69"/>
      <c r="O4" s="69"/>
      <c r="P4" s="69"/>
    </row>
    <row r="5" spans="6:16" ht="15.5" thickBot="1" x14ac:dyDescent="0.9">
      <c r="F5" s="22" t="s">
        <v>22</v>
      </c>
      <c r="G5" s="70" t="s">
        <v>23</v>
      </c>
      <c r="H5" s="71"/>
      <c r="I5" s="71"/>
      <c r="J5" s="71"/>
      <c r="K5" s="72"/>
      <c r="L5" s="73" t="s">
        <v>24</v>
      </c>
      <c r="M5" s="74"/>
      <c r="N5" s="74"/>
      <c r="O5" s="74"/>
      <c r="P5" s="74"/>
    </row>
    <row r="6" spans="6:16" ht="15.5" thickBot="1" x14ac:dyDescent="0.9">
      <c r="F6" s="25" t="s">
        <v>25</v>
      </c>
      <c r="G6" s="26" t="s">
        <v>0</v>
      </c>
      <c r="H6" s="26" t="s">
        <v>1</v>
      </c>
      <c r="I6" s="26" t="s">
        <v>9</v>
      </c>
      <c r="J6" s="26" t="s">
        <v>10</v>
      </c>
      <c r="K6" s="26" t="s">
        <v>2</v>
      </c>
      <c r="L6" s="27" t="s">
        <v>0</v>
      </c>
      <c r="M6" s="27" t="s">
        <v>1</v>
      </c>
      <c r="N6" s="27" t="s">
        <v>9</v>
      </c>
      <c r="O6" s="27" t="s">
        <v>10</v>
      </c>
      <c r="P6" s="27" t="s">
        <v>2</v>
      </c>
    </row>
    <row r="7" spans="6:16" ht="15.5" thickBot="1" x14ac:dyDescent="0.9">
      <c r="F7" s="25">
        <v>2019</v>
      </c>
      <c r="G7" s="23">
        <v>1335</v>
      </c>
      <c r="H7" s="23">
        <v>250</v>
      </c>
      <c r="I7" s="23">
        <v>165</v>
      </c>
      <c r="J7" s="23">
        <v>1750</v>
      </c>
      <c r="K7" s="23">
        <v>200</v>
      </c>
      <c r="L7" s="24">
        <v>2100</v>
      </c>
      <c r="M7" s="24">
        <v>400</v>
      </c>
      <c r="N7" s="24">
        <v>200</v>
      </c>
      <c r="O7" s="24">
        <v>2700</v>
      </c>
      <c r="P7" s="24">
        <v>315</v>
      </c>
    </row>
    <row r="8" spans="6:16" ht="15.5" thickBot="1" x14ac:dyDescent="0.9">
      <c r="F8" s="25">
        <v>2020</v>
      </c>
      <c r="G8" s="23">
        <v>1375</v>
      </c>
      <c r="H8" s="23">
        <v>250</v>
      </c>
      <c r="I8" s="23">
        <v>165</v>
      </c>
      <c r="J8" s="23">
        <v>1790</v>
      </c>
      <c r="K8" s="23">
        <v>206</v>
      </c>
      <c r="L8" s="24">
        <v>2163</v>
      </c>
      <c r="M8" s="24">
        <v>400</v>
      </c>
      <c r="N8" s="24">
        <v>200</v>
      </c>
      <c r="O8" s="24">
        <v>2763</v>
      </c>
      <c r="P8" s="24">
        <v>324</v>
      </c>
    </row>
    <row r="9" spans="6:16" ht="15.5" thickBot="1" x14ac:dyDescent="0.9">
      <c r="F9" s="25">
        <v>2021</v>
      </c>
      <c r="G9" s="23">
        <v>1416</v>
      </c>
      <c r="H9" s="23">
        <v>250</v>
      </c>
      <c r="I9" s="23">
        <v>165</v>
      </c>
      <c r="J9" s="23">
        <v>1831</v>
      </c>
      <c r="K9" s="23">
        <v>212</v>
      </c>
      <c r="L9" s="24">
        <v>2228</v>
      </c>
      <c r="M9" s="24">
        <v>400</v>
      </c>
      <c r="N9" s="24">
        <v>200</v>
      </c>
      <c r="O9" s="24">
        <v>2828</v>
      </c>
      <c r="P9" s="24">
        <v>334</v>
      </c>
    </row>
    <row r="10" spans="6:16" ht="15.5" thickBot="1" x14ac:dyDescent="0.9">
      <c r="F10" s="25">
        <v>2022</v>
      </c>
      <c r="G10" s="23">
        <v>1459</v>
      </c>
      <c r="H10" s="23">
        <v>250</v>
      </c>
      <c r="I10" s="23">
        <v>165</v>
      </c>
      <c r="J10" s="23">
        <v>1874</v>
      </c>
      <c r="K10" s="23">
        <v>219</v>
      </c>
      <c r="L10" s="24">
        <v>2295</v>
      </c>
      <c r="M10" s="24">
        <v>400</v>
      </c>
      <c r="N10" s="24">
        <v>200</v>
      </c>
      <c r="O10" s="24">
        <v>2895</v>
      </c>
      <c r="P10" s="24">
        <v>344</v>
      </c>
    </row>
    <row r="11" spans="6:16" x14ac:dyDescent="0.75">
      <c r="F11" s="28" t="s">
        <v>26</v>
      </c>
      <c r="G11" s="77">
        <v>1503</v>
      </c>
      <c r="H11" s="77">
        <v>250</v>
      </c>
      <c r="I11" s="77">
        <v>165</v>
      </c>
      <c r="J11" s="77">
        <v>1918</v>
      </c>
      <c r="K11" s="77">
        <v>225</v>
      </c>
      <c r="L11" s="82">
        <v>2364</v>
      </c>
      <c r="M11" s="82">
        <v>400</v>
      </c>
      <c r="N11" s="82">
        <v>200</v>
      </c>
      <c r="O11" s="82">
        <v>2964</v>
      </c>
      <c r="P11" s="75">
        <v>355</v>
      </c>
    </row>
    <row r="12" spans="6:16" ht="15.5" thickBot="1" x14ac:dyDescent="0.9">
      <c r="F12" s="29" t="s">
        <v>27</v>
      </c>
      <c r="G12" s="78"/>
      <c r="H12" s="78"/>
      <c r="I12" s="78"/>
      <c r="J12" s="78"/>
      <c r="K12" s="78"/>
      <c r="L12" s="83"/>
      <c r="M12" s="83"/>
      <c r="N12" s="83"/>
      <c r="O12" s="83"/>
      <c r="P12" s="76"/>
    </row>
    <row r="13" spans="6:16" x14ac:dyDescent="0.75">
      <c r="F13" s="30" t="s">
        <v>28</v>
      </c>
      <c r="G13" s="77">
        <v>1700</v>
      </c>
      <c r="H13" s="77">
        <v>400</v>
      </c>
      <c r="I13" s="77">
        <v>200</v>
      </c>
      <c r="J13" s="77">
        <v>2300</v>
      </c>
      <c r="K13" s="77">
        <v>255</v>
      </c>
      <c r="L13" s="82">
        <v>2364</v>
      </c>
      <c r="M13" s="82">
        <v>400</v>
      </c>
      <c r="N13" s="82">
        <v>200</v>
      </c>
      <c r="O13" s="82">
        <v>2964</v>
      </c>
      <c r="P13" s="75">
        <v>355</v>
      </c>
    </row>
    <row r="14" spans="6:16" ht="15.5" thickBot="1" x14ac:dyDescent="0.9">
      <c r="F14" s="25" t="s">
        <v>29</v>
      </c>
      <c r="G14" s="78"/>
      <c r="H14" s="78"/>
      <c r="I14" s="78"/>
      <c r="J14" s="78"/>
      <c r="K14" s="78"/>
      <c r="L14" s="83"/>
      <c r="M14" s="83"/>
      <c r="N14" s="83"/>
      <c r="O14" s="83"/>
      <c r="P14" s="76"/>
    </row>
    <row r="15" spans="6:16" ht="15.5" thickBot="1" x14ac:dyDescent="0.9">
      <c r="F15" s="25">
        <v>2024</v>
      </c>
      <c r="G15" s="23">
        <v>1751</v>
      </c>
      <c r="H15" s="23">
        <v>400</v>
      </c>
      <c r="I15" s="23">
        <v>200</v>
      </c>
      <c r="J15" s="23">
        <v>2351</v>
      </c>
      <c r="K15" s="23">
        <v>263</v>
      </c>
      <c r="L15" s="31">
        <v>2434</v>
      </c>
      <c r="M15" s="31">
        <v>400</v>
      </c>
      <c r="N15" s="31">
        <v>200</v>
      </c>
      <c r="O15" s="31">
        <v>3034</v>
      </c>
      <c r="P15" s="24">
        <v>365</v>
      </c>
    </row>
    <row r="16" spans="6:16" ht="15.5" thickBot="1" x14ac:dyDescent="0.9">
      <c r="F16" s="32"/>
    </row>
    <row r="17" spans="6:12" ht="45" thickBot="1" x14ac:dyDescent="0.9">
      <c r="F17" s="33" t="s">
        <v>7</v>
      </c>
      <c r="G17" s="34" t="s">
        <v>6</v>
      </c>
      <c r="H17" s="35" t="s">
        <v>30</v>
      </c>
      <c r="I17" s="36" t="s">
        <v>31</v>
      </c>
      <c r="J17" s="37" t="s">
        <v>32</v>
      </c>
      <c r="K17" s="38" t="s">
        <v>33</v>
      </c>
      <c r="L17" s="34" t="s">
        <v>34</v>
      </c>
    </row>
    <row r="18" spans="6:12" ht="15.5" thickBot="1" x14ac:dyDescent="0.9">
      <c r="F18" s="39">
        <v>2019</v>
      </c>
      <c r="G18" s="40">
        <v>9</v>
      </c>
      <c r="H18" s="41">
        <v>950</v>
      </c>
      <c r="I18" s="42">
        <v>8550</v>
      </c>
      <c r="J18" s="43">
        <v>115</v>
      </c>
      <c r="K18" s="44">
        <v>1033</v>
      </c>
      <c r="L18" s="40">
        <v>9583</v>
      </c>
    </row>
    <row r="19" spans="6:12" ht="15.5" thickBot="1" x14ac:dyDescent="0.9">
      <c r="F19" s="39">
        <v>2020</v>
      </c>
      <c r="G19" s="40">
        <v>12</v>
      </c>
      <c r="H19" s="41">
        <v>973</v>
      </c>
      <c r="I19" s="42">
        <v>11675</v>
      </c>
      <c r="J19" s="43">
        <v>118</v>
      </c>
      <c r="K19" s="44">
        <v>1418</v>
      </c>
      <c r="L19" s="40">
        <v>13094</v>
      </c>
    </row>
    <row r="20" spans="6:12" ht="15.5" thickBot="1" x14ac:dyDescent="0.9">
      <c r="F20" s="39">
        <v>2021</v>
      </c>
      <c r="G20" s="40">
        <v>12</v>
      </c>
      <c r="H20" s="41">
        <v>997</v>
      </c>
      <c r="I20" s="42">
        <v>11959</v>
      </c>
      <c r="J20" s="43">
        <v>122</v>
      </c>
      <c r="K20" s="44">
        <v>1461</v>
      </c>
      <c r="L20" s="40">
        <v>13420</v>
      </c>
    </row>
    <row r="21" spans="6:12" ht="15.5" thickBot="1" x14ac:dyDescent="0.9">
      <c r="F21" s="39">
        <v>2022</v>
      </c>
      <c r="G21" s="40">
        <v>12</v>
      </c>
      <c r="H21" s="41">
        <v>1021</v>
      </c>
      <c r="I21" s="42">
        <v>12251</v>
      </c>
      <c r="J21" s="43">
        <v>125</v>
      </c>
      <c r="K21" s="44">
        <v>1505</v>
      </c>
      <c r="L21" s="40">
        <v>13756</v>
      </c>
    </row>
    <row r="22" spans="6:12" ht="15.5" thickBot="1" x14ac:dyDescent="0.9">
      <c r="F22" s="39">
        <v>2023</v>
      </c>
      <c r="G22" s="40">
        <v>5</v>
      </c>
      <c r="H22" s="41">
        <v>1046</v>
      </c>
      <c r="I22" s="42">
        <v>5230</v>
      </c>
      <c r="J22" s="43">
        <v>129</v>
      </c>
      <c r="K22" s="44">
        <v>646</v>
      </c>
      <c r="L22" s="40">
        <v>5876</v>
      </c>
    </row>
    <row r="23" spans="6:12" ht="15.5" thickBot="1" x14ac:dyDescent="0.9">
      <c r="F23" s="39">
        <v>2023</v>
      </c>
      <c r="G23" s="40">
        <v>7</v>
      </c>
      <c r="H23" s="41">
        <v>664</v>
      </c>
      <c r="I23" s="42">
        <v>4645</v>
      </c>
      <c r="J23" s="43">
        <v>100</v>
      </c>
      <c r="K23" s="44">
        <v>697</v>
      </c>
      <c r="L23" s="40">
        <v>5342</v>
      </c>
    </row>
    <row r="24" spans="6:12" ht="15.5" thickBot="1" x14ac:dyDescent="0.9">
      <c r="F24" s="39">
        <v>2024</v>
      </c>
      <c r="G24" s="40">
        <v>12</v>
      </c>
      <c r="H24" s="41">
        <v>683</v>
      </c>
      <c r="I24" s="42">
        <v>8202</v>
      </c>
      <c r="J24" s="43">
        <v>103</v>
      </c>
      <c r="K24" s="44">
        <v>1230</v>
      </c>
      <c r="L24" s="40">
        <v>9432</v>
      </c>
    </row>
    <row r="25" spans="6:12" ht="15.5" thickBot="1" x14ac:dyDescent="0.9">
      <c r="F25" s="79" t="s">
        <v>35</v>
      </c>
      <c r="G25" s="80"/>
      <c r="H25" s="80"/>
      <c r="I25" s="80"/>
      <c r="J25" s="80"/>
      <c r="K25" s="81"/>
      <c r="L25" s="45" t="s">
        <v>36</v>
      </c>
    </row>
    <row r="26" spans="6:12" x14ac:dyDescent="0.75">
      <c r="F26" s="46"/>
    </row>
  </sheetData>
  <mergeCells count="26">
    <mergeCell ref="F25:K25"/>
    <mergeCell ref="L11:L12"/>
    <mergeCell ref="M11:M12"/>
    <mergeCell ref="N11:N12"/>
    <mergeCell ref="O11:O12"/>
    <mergeCell ref="L13:L14"/>
    <mergeCell ref="M13:M14"/>
    <mergeCell ref="N13:N14"/>
    <mergeCell ref="O13:O14"/>
    <mergeCell ref="P11:P12"/>
    <mergeCell ref="G13:G14"/>
    <mergeCell ref="H13:H14"/>
    <mergeCell ref="I13:I14"/>
    <mergeCell ref="J13:J14"/>
    <mergeCell ref="K13:K14"/>
    <mergeCell ref="G11:G12"/>
    <mergeCell ref="H11:H12"/>
    <mergeCell ref="I11:I12"/>
    <mergeCell ref="J11:J12"/>
    <mergeCell ref="K11:K12"/>
    <mergeCell ref="P13:P14"/>
    <mergeCell ref="F3:P3"/>
    <mergeCell ref="G4:K4"/>
    <mergeCell ref="L4:P4"/>
    <mergeCell ref="G5:K5"/>
    <mergeCell ref="L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حساب الأجور (2)</vt:lpstr>
      <vt:lpstr>م</vt:lpstr>
      <vt:lpstr>Sheet3</vt:lpstr>
      <vt:lpstr>حساب الأجور</vt:lpstr>
      <vt:lpstr>Sheet2</vt:lpstr>
      <vt:lpstr>Sheet1</vt:lpstr>
    </vt:vector>
  </TitlesOfParts>
  <Company>OPAZ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Al Ismaili</dc:creator>
  <cp:lastModifiedBy>Tariq Al Maskari</cp:lastModifiedBy>
  <cp:lastPrinted>2025-02-24T04:30:04Z</cp:lastPrinted>
  <dcterms:created xsi:type="dcterms:W3CDTF">2023-06-06T09:19:09Z</dcterms:created>
  <dcterms:modified xsi:type="dcterms:W3CDTF">2025-05-02T07:12:17Z</dcterms:modified>
</cp:coreProperties>
</file>