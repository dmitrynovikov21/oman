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625d88cdb56fc3/سطح المكتب/MoJ/المأموريات/262/2/"/>
    </mc:Choice>
  </mc:AlternateContent>
  <xr:revisionPtr revIDLastSave="531" documentId="8_{C71B9164-682E-47CD-8B08-C8A6C785061F}" xr6:coauthVersionLast="47" xr6:coauthVersionMax="47" xr10:uidLastSave="{F3166DE3-8B35-44E3-997E-F105A21F6231}"/>
  <bookViews>
    <workbookView minimized="1" xWindow="6115" yWindow="6115" windowWidth="6390" windowHeight="3750" xr2:uid="{795F8FE9-9B9B-4C40-9F05-5F86119EA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" i="1" l="1"/>
  <c r="O91" i="1" s="1"/>
  <c r="Q91" i="1" s="1"/>
  <c r="O90" i="1"/>
  <c r="Q83" i="1"/>
  <c r="O84" i="1" s="1"/>
  <c r="O83" i="1"/>
  <c r="Q82" i="1"/>
  <c r="Z64" i="1"/>
  <c r="Z65" i="1"/>
  <c r="Z66" i="1"/>
  <c r="Z67" i="1"/>
  <c r="AA67" i="1" s="1"/>
  <c r="AB67" i="1" s="1"/>
  <c r="Z68" i="1"/>
  <c r="Z69" i="1"/>
  <c r="Y67" i="1"/>
  <c r="Z63" i="1"/>
  <c r="Y63" i="1"/>
  <c r="X64" i="1"/>
  <c r="X65" i="1"/>
  <c r="X66" i="1"/>
  <c r="X67" i="1"/>
  <c r="X68" i="1"/>
  <c r="X69" i="1"/>
  <c r="X70" i="1"/>
  <c r="X63" i="1"/>
  <c r="W66" i="1"/>
  <c r="W67" i="1"/>
  <c r="W63" i="1"/>
  <c r="V67" i="1"/>
  <c r="U67" i="1"/>
  <c r="Q69" i="1"/>
  <c r="S69" i="1" s="1"/>
  <c r="Q70" i="1" s="1"/>
  <c r="S64" i="1"/>
  <c r="S65" i="1"/>
  <c r="S66" i="1"/>
  <c r="S67" i="1"/>
  <c r="S68" i="1"/>
  <c r="S63" i="1"/>
  <c r="P67" i="1"/>
  <c r="J71" i="1"/>
  <c r="K71" i="1" s="1"/>
  <c r="J72" i="1"/>
  <c r="K72" i="1" s="1"/>
  <c r="J73" i="1"/>
  <c r="K73" i="1" s="1"/>
  <c r="J74" i="1"/>
  <c r="K74" i="1" s="1"/>
  <c r="J70" i="1"/>
  <c r="K70" i="1" s="1"/>
  <c r="P63" i="1"/>
  <c r="N64" i="1" s="1"/>
  <c r="P64" i="1" s="1"/>
  <c r="N65" i="1" s="1"/>
  <c r="P65" i="1" s="1"/>
  <c r="N66" i="1" s="1"/>
  <c r="P66" i="1" s="1"/>
  <c r="N68" i="1" s="1"/>
  <c r="P68" i="1" s="1"/>
  <c r="N69" i="1" s="1"/>
  <c r="P69" i="1" s="1"/>
  <c r="N70" i="1" s="1"/>
  <c r="P70" i="1" s="1"/>
  <c r="N71" i="1" s="1"/>
  <c r="P71" i="1" s="1"/>
  <c r="N72" i="1" s="1"/>
  <c r="S49" i="1"/>
  <c r="S50" i="1"/>
  <c r="S51" i="1"/>
  <c r="S52" i="1"/>
  <c r="S53" i="1"/>
  <c r="S48" i="1"/>
  <c r="R48" i="1"/>
  <c r="T48" i="1" s="1"/>
  <c r="V48" i="1" s="1"/>
  <c r="O40" i="1"/>
  <c r="T40" i="1" s="1"/>
  <c r="O39" i="1"/>
  <c r="T39" i="1" s="1"/>
  <c r="M38" i="1"/>
  <c r="K39" i="1" s="1"/>
  <c r="S54" i="1" s="1"/>
  <c r="O38" i="1"/>
  <c r="M37" i="1"/>
  <c r="O37" i="1"/>
  <c r="T37" i="1" s="1"/>
  <c r="Q84" i="1" l="1"/>
  <c r="O85" i="1" s="1"/>
  <c r="S70" i="1"/>
  <c r="Z70" i="1"/>
  <c r="U70" i="1"/>
  <c r="V70" i="1" s="1"/>
  <c r="W69" i="1"/>
  <c r="W68" i="1"/>
  <c r="U68" i="1"/>
  <c r="V68" i="1" s="1"/>
  <c r="Y69" i="1"/>
  <c r="AA69" i="1" s="1"/>
  <c r="AB69" i="1" s="1"/>
  <c r="U69" i="1"/>
  <c r="V69" i="1" s="1"/>
  <c r="Y70" i="1"/>
  <c r="AA70" i="1" s="1"/>
  <c r="AB70" i="1" s="1"/>
  <c r="Y68" i="1"/>
  <c r="AA68" i="1" s="1"/>
  <c r="AB68" i="1" s="1"/>
  <c r="U66" i="1"/>
  <c r="V66" i="1" s="1"/>
  <c r="W65" i="1"/>
  <c r="U65" i="1"/>
  <c r="V65" i="1" s="1"/>
  <c r="W64" i="1"/>
  <c r="Y66" i="1"/>
  <c r="AA66" i="1" s="1"/>
  <c r="AB66" i="1" s="1"/>
  <c r="U64" i="1"/>
  <c r="V64" i="1" s="1"/>
  <c r="V71" i="1" s="1"/>
  <c r="Y65" i="1"/>
  <c r="AA65" i="1" s="1"/>
  <c r="AB65" i="1" s="1"/>
  <c r="Y64" i="1"/>
  <c r="AA64" i="1" s="1"/>
  <c r="AB64" i="1" s="1"/>
  <c r="U63" i="1"/>
  <c r="V63" i="1" s="1"/>
  <c r="W70" i="1"/>
  <c r="AA63" i="1"/>
  <c r="AB63" i="1" s="1"/>
  <c r="P72" i="1"/>
  <c r="N73" i="1" s="1"/>
  <c r="P73" i="1" s="1"/>
  <c r="N74" i="1" s="1"/>
  <c r="T38" i="1"/>
  <c r="M39" i="1"/>
  <c r="K40" i="1" s="1"/>
  <c r="M34" i="1"/>
  <c r="Q28" i="1"/>
  <c r="U29" i="1" s="1"/>
  <c r="O34" i="1"/>
  <c r="T34" i="1" s="1"/>
  <c r="O35" i="1"/>
  <c r="T35" i="1" s="1"/>
  <c r="O36" i="1"/>
  <c r="T36" i="1" s="1"/>
  <c r="O33" i="1"/>
  <c r="T33" i="1" s="1"/>
  <c r="N33" i="1"/>
  <c r="P33" i="1" s="1"/>
  <c r="R33" i="1" s="1"/>
  <c r="M33" i="1"/>
  <c r="J33" i="1"/>
  <c r="C40" i="1"/>
  <c r="C36" i="1"/>
  <c r="C32" i="1"/>
  <c r="C28" i="1"/>
  <c r="C24" i="1"/>
  <c r="C20" i="1"/>
  <c r="C16" i="1"/>
  <c r="C12" i="1"/>
  <c r="C8" i="1"/>
  <c r="C4" i="1"/>
  <c r="Q85" i="1" l="1"/>
  <c r="O86" i="1" s="1"/>
  <c r="AB71" i="1"/>
  <c r="P74" i="1"/>
  <c r="N75" i="1" s="1"/>
  <c r="P75" i="1" s="1"/>
  <c r="M40" i="1"/>
  <c r="S55" i="1"/>
  <c r="H45" i="1"/>
  <c r="I45" i="1" s="1"/>
  <c r="H46" i="1" s="1"/>
  <c r="I46" i="1" s="1"/>
  <c r="H47" i="1" s="1"/>
  <c r="I47" i="1" s="1"/>
  <c r="H48" i="1" s="1"/>
  <c r="I48" i="1" s="1"/>
  <c r="H49" i="1" s="1"/>
  <c r="I49" i="1" s="1"/>
  <c r="H50" i="1" s="1"/>
  <c r="I50" i="1" s="1"/>
  <c r="H51" i="1" s="1"/>
  <c r="I51" i="1" s="1"/>
  <c r="H52" i="1" s="1"/>
  <c r="I52" i="1" s="1"/>
  <c r="H53" i="1" s="1"/>
  <c r="H34" i="1"/>
  <c r="N34" i="1" s="1"/>
  <c r="P34" i="1" s="1"/>
  <c r="R34" i="1" s="1"/>
  <c r="S33" i="1"/>
  <c r="M35" i="1"/>
  <c r="Q86" i="1" l="1"/>
  <c r="O87" i="1" s="1"/>
  <c r="J34" i="1"/>
  <c r="H35" i="1" s="1"/>
  <c r="E46" i="1" s="1"/>
  <c r="R49" i="1"/>
  <c r="T49" i="1" s="1"/>
  <c r="V49" i="1" s="1"/>
  <c r="I53" i="1"/>
  <c r="H54" i="1" s="1"/>
  <c r="I54" i="1" s="1"/>
  <c r="S34" i="1"/>
  <c r="M36" i="1"/>
  <c r="Q87" i="1" l="1"/>
  <c r="O88" i="1" s="1"/>
  <c r="R50" i="1"/>
  <c r="T50" i="1" s="1"/>
  <c r="V50" i="1" s="1"/>
  <c r="N35" i="1"/>
  <c r="J35" i="1"/>
  <c r="H36" i="1" s="1"/>
  <c r="L28" i="1"/>
  <c r="P28" i="1" s="1"/>
  <c r="J36" i="1"/>
  <c r="N36" i="1"/>
  <c r="P36" i="1" s="1"/>
  <c r="R36" i="1" s="1"/>
  <c r="Q88" i="1" l="1"/>
  <c r="O89" i="1" s="1"/>
  <c r="Q89" i="1" s="1"/>
  <c r="H37" i="1"/>
  <c r="E48" i="1" s="1"/>
  <c r="H38" i="1"/>
  <c r="S36" i="1"/>
  <c r="R51" i="1"/>
  <c r="T51" i="1" s="1"/>
  <c r="V51" i="1" s="1"/>
  <c r="E47" i="1"/>
  <c r="N37" i="1"/>
  <c r="J37" i="1"/>
  <c r="R52" i="1"/>
  <c r="T52" i="1" s="1"/>
  <c r="V52" i="1" s="1"/>
  <c r="P35" i="1"/>
  <c r="R35" i="1" s="1"/>
  <c r="S35" i="1"/>
  <c r="T29" i="1"/>
  <c r="R28" i="1"/>
  <c r="Q30" i="1" s="1"/>
  <c r="J38" i="1" l="1"/>
  <c r="H39" i="1" s="1"/>
  <c r="N38" i="1"/>
  <c r="E49" i="1"/>
  <c r="R53" i="1"/>
  <c r="T53" i="1" s="1"/>
  <c r="V53" i="1" s="1"/>
  <c r="E50" i="1"/>
  <c r="P37" i="1"/>
  <c r="R37" i="1" s="1"/>
  <c r="S37" i="1"/>
  <c r="S38" i="1" l="1"/>
  <c r="P38" i="1"/>
  <c r="R38" i="1" s="1"/>
  <c r="N39" i="1"/>
  <c r="J39" i="1"/>
  <c r="H40" i="1" s="1"/>
  <c r="R54" i="1"/>
  <c r="T54" i="1" s="1"/>
  <c r="V54" i="1" s="1"/>
  <c r="N40" i="1" l="1"/>
  <c r="R55" i="1"/>
  <c r="T55" i="1" s="1"/>
  <c r="V55" i="1" s="1"/>
  <c r="V56" i="1" s="1"/>
  <c r="J40" i="1"/>
  <c r="P39" i="1"/>
  <c r="R39" i="1" s="1"/>
  <c r="S39" i="1"/>
  <c r="R41" i="1" l="1"/>
  <c r="N60" i="1" s="1"/>
  <c r="P40" i="1"/>
  <c r="R40" i="1" s="1"/>
  <c r="S40" i="1"/>
</calcChain>
</file>

<file path=xl/sharedStrings.xml><?xml version="1.0" encoding="utf-8"?>
<sst xmlns="http://schemas.openxmlformats.org/spreadsheetml/2006/main" count="89" uniqueCount="46">
  <si>
    <t>Oct 2017 till Oct 2018</t>
  </si>
  <si>
    <t>Allawances</t>
  </si>
  <si>
    <t>Basic Salary</t>
  </si>
  <si>
    <t xml:space="preserve">Gross Salary </t>
  </si>
  <si>
    <t>Nov 2018 till Dec 2018</t>
  </si>
  <si>
    <t>Jan 2019 till April 2019</t>
  </si>
  <si>
    <t>May 2019 till Dec 2019</t>
  </si>
  <si>
    <t>Jan 2020 till Dec 2020</t>
  </si>
  <si>
    <t>Jan 2021 till Dec 2021</t>
  </si>
  <si>
    <t>Jan 2022 till Dec 2022</t>
  </si>
  <si>
    <t>Jan 2023 till May 2023</t>
  </si>
  <si>
    <t>Jan 2024 till Dec 2024</t>
  </si>
  <si>
    <t>May 2023 till Dec 2023</t>
  </si>
  <si>
    <t>Policy</t>
  </si>
  <si>
    <t>Actuual</t>
  </si>
  <si>
    <t>Total</t>
  </si>
  <si>
    <t>Allowance Dif</t>
  </si>
  <si>
    <t>Basic Dif</t>
  </si>
  <si>
    <t>Total Dif</t>
  </si>
  <si>
    <t>Months</t>
  </si>
  <si>
    <t>Plus Jan - April 2023</t>
  </si>
  <si>
    <t>Basic</t>
  </si>
  <si>
    <t>Allowance</t>
  </si>
  <si>
    <t>Allowance Actu</t>
  </si>
  <si>
    <t>Year Total Difference</t>
  </si>
  <si>
    <t>Allow</t>
  </si>
  <si>
    <t>Breakdown Dif</t>
  </si>
  <si>
    <t>Duqm Allowance</t>
  </si>
  <si>
    <t>New</t>
  </si>
  <si>
    <t>Old</t>
  </si>
  <si>
    <t>Difference</t>
  </si>
  <si>
    <t>Year</t>
  </si>
  <si>
    <t>ِ</t>
  </si>
  <si>
    <t>total</t>
  </si>
  <si>
    <t xml:space="preserve">Test </t>
  </si>
  <si>
    <t>allowances</t>
  </si>
  <si>
    <t>basice</t>
  </si>
  <si>
    <t>Actual</t>
  </si>
  <si>
    <t>Differences</t>
  </si>
  <si>
    <t>months</t>
  </si>
  <si>
    <t>amount</t>
  </si>
  <si>
    <t>grand amount</t>
  </si>
  <si>
    <t>basic dif</t>
  </si>
  <si>
    <t>allowan dif</t>
  </si>
  <si>
    <t>Duqm Allow</t>
  </si>
  <si>
    <t>Diffe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</si>
</sst>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3" fillId="0" borderId="0" xfId="0" applyNumberFormat="1" applyFont="1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5EAD-B55A-4FB8-B78B-64609B55DDFA}">
  <dimension ref="B1:AB91"/>
  <sheetViews>
    <sheetView tabSelected="1" topLeftCell="A35" workbookViewId="0">
      <selection activeCell="C46" sqref="C46"/>
    </sheetView>
  </sheetViews>
  <sheetFormatPr defaultRowHeight="14.75" x14ac:dyDescent="0.75"/>
  <cols>
    <col min="2" max="2" width="15" bestFit="1" customWidth="1"/>
    <col min="3" max="3" width="32.86328125" customWidth="1"/>
    <col min="5" max="5" width="12" customWidth="1"/>
    <col min="7" max="7" width="5" bestFit="1" customWidth="1"/>
    <col min="8" max="8" width="12.26953125" bestFit="1" customWidth="1"/>
    <col min="11" max="11" width="11.1328125" bestFit="1" customWidth="1"/>
    <col min="13" max="13" width="11.7265625" bestFit="1" customWidth="1"/>
    <col min="14" max="14" width="9.7265625" bestFit="1" customWidth="1"/>
    <col min="15" max="15" width="11.7265625" bestFit="1" customWidth="1"/>
    <col min="18" max="18" width="17.86328125" bestFit="1" customWidth="1"/>
    <col min="19" max="19" width="9.1328125" bestFit="1" customWidth="1"/>
    <col min="20" max="20" width="11.26953125" bestFit="1" customWidth="1"/>
    <col min="22" max="22" width="13.40625" bestFit="1" customWidth="1"/>
    <col min="23" max="23" width="9.7265625" bestFit="1" customWidth="1"/>
    <col min="28" max="28" width="9.7265625" bestFit="1" customWidth="1"/>
  </cols>
  <sheetData>
    <row r="1" spans="2:4" ht="18.5" x14ac:dyDescent="0.9">
      <c r="B1" s="11" t="s">
        <v>0</v>
      </c>
      <c r="C1" s="11"/>
      <c r="D1" s="1"/>
    </row>
    <row r="2" spans="2:4" ht="18.5" x14ac:dyDescent="0.9">
      <c r="B2" s="2" t="s">
        <v>2</v>
      </c>
      <c r="C2" s="2">
        <v>730</v>
      </c>
    </row>
    <row r="3" spans="2:4" ht="18.5" x14ac:dyDescent="0.9">
      <c r="B3" s="2" t="s">
        <v>1</v>
      </c>
      <c r="C3" s="2">
        <v>610</v>
      </c>
    </row>
    <row r="4" spans="2:4" ht="18.5" x14ac:dyDescent="0.9">
      <c r="B4" s="2" t="s">
        <v>3</v>
      </c>
      <c r="C4" s="2">
        <f>C2+C3</f>
        <v>1340</v>
      </c>
    </row>
    <row r="5" spans="2:4" ht="18.5" x14ac:dyDescent="0.9">
      <c r="B5" s="11" t="s">
        <v>4</v>
      </c>
      <c r="C5" s="11"/>
    </row>
    <row r="6" spans="2:4" ht="18.5" x14ac:dyDescent="0.9">
      <c r="B6" s="2" t="s">
        <v>2</v>
      </c>
      <c r="C6" s="2">
        <v>966</v>
      </c>
    </row>
    <row r="7" spans="2:4" ht="18.5" x14ac:dyDescent="0.9">
      <c r="B7" s="2" t="s">
        <v>1</v>
      </c>
      <c r="C7" s="2">
        <v>402</v>
      </c>
    </row>
    <row r="8" spans="2:4" ht="18.5" x14ac:dyDescent="0.9">
      <c r="B8" s="2" t="s">
        <v>3</v>
      </c>
      <c r="C8" s="2">
        <f>C6+C7</f>
        <v>1368</v>
      </c>
    </row>
    <row r="9" spans="2:4" ht="18.5" x14ac:dyDescent="0.9">
      <c r="B9" s="11" t="s">
        <v>5</v>
      </c>
      <c r="C9" s="11"/>
    </row>
    <row r="10" spans="2:4" ht="18.5" x14ac:dyDescent="0.9">
      <c r="B10" s="2" t="s">
        <v>2</v>
      </c>
      <c r="C10" s="2">
        <v>994.98</v>
      </c>
    </row>
    <row r="11" spans="2:4" ht="18.5" x14ac:dyDescent="0.9">
      <c r="B11" s="2" t="s">
        <v>1</v>
      </c>
      <c r="C11" s="2">
        <v>402</v>
      </c>
    </row>
    <row r="12" spans="2:4" ht="18.5" x14ac:dyDescent="0.9">
      <c r="B12" s="2" t="s">
        <v>3</v>
      </c>
      <c r="C12" s="2">
        <f>C10+C11</f>
        <v>1396.98</v>
      </c>
    </row>
    <row r="13" spans="2:4" ht="18.5" x14ac:dyDescent="0.9">
      <c r="B13" s="11" t="s">
        <v>6</v>
      </c>
      <c r="C13" s="11"/>
    </row>
    <row r="14" spans="2:4" ht="18.5" x14ac:dyDescent="0.9">
      <c r="B14" s="2" t="s">
        <v>2</v>
      </c>
      <c r="C14" s="2">
        <v>1325</v>
      </c>
    </row>
    <row r="15" spans="2:4" ht="18.5" x14ac:dyDescent="0.9">
      <c r="B15" s="2" t="s">
        <v>1</v>
      </c>
      <c r="C15" s="2">
        <v>415</v>
      </c>
    </row>
    <row r="16" spans="2:4" ht="18.5" x14ac:dyDescent="0.9">
      <c r="B16" s="2" t="s">
        <v>3</v>
      </c>
      <c r="C16" s="2">
        <f>C14+C15</f>
        <v>1740</v>
      </c>
    </row>
    <row r="17" spans="2:21" ht="18.5" x14ac:dyDescent="0.9">
      <c r="B17" s="11" t="s">
        <v>7</v>
      </c>
      <c r="C17" s="11"/>
    </row>
    <row r="18" spans="2:21" ht="18.5" x14ac:dyDescent="0.9">
      <c r="B18" s="2" t="s">
        <v>2</v>
      </c>
      <c r="C18" s="2">
        <v>1377.2</v>
      </c>
    </row>
    <row r="19" spans="2:21" ht="18.5" x14ac:dyDescent="0.9">
      <c r="B19" s="2" t="s">
        <v>1</v>
      </c>
      <c r="C19" s="2">
        <v>415</v>
      </c>
    </row>
    <row r="20" spans="2:21" ht="18.5" x14ac:dyDescent="0.9">
      <c r="B20" s="2" t="s">
        <v>3</v>
      </c>
      <c r="C20" s="2">
        <f>C18+C19</f>
        <v>1792.2</v>
      </c>
    </row>
    <row r="21" spans="2:21" ht="18.5" x14ac:dyDescent="0.9">
      <c r="B21" s="11" t="s">
        <v>8</v>
      </c>
      <c r="C21" s="11"/>
    </row>
    <row r="22" spans="2:21" ht="18.5" x14ac:dyDescent="0.9">
      <c r="B22" s="2" t="s">
        <v>2</v>
      </c>
      <c r="C22" s="2">
        <v>1404.0830000000001</v>
      </c>
    </row>
    <row r="23" spans="2:21" ht="18.5" x14ac:dyDescent="0.9">
      <c r="B23" s="2" t="s">
        <v>1</v>
      </c>
      <c r="C23" s="2">
        <v>415</v>
      </c>
    </row>
    <row r="24" spans="2:21" ht="18.5" x14ac:dyDescent="0.9">
      <c r="B24" s="2" t="s">
        <v>3</v>
      </c>
      <c r="C24" s="2">
        <f>C22+C23</f>
        <v>1819.0830000000001</v>
      </c>
    </row>
    <row r="25" spans="2:21" ht="18.5" x14ac:dyDescent="0.9">
      <c r="B25" s="11" t="s">
        <v>9</v>
      </c>
      <c r="C25" s="11"/>
    </row>
    <row r="26" spans="2:21" ht="18.5" x14ac:dyDescent="0.9">
      <c r="B26" s="2" t="s">
        <v>2</v>
      </c>
      <c r="C26" s="2">
        <v>1458.655</v>
      </c>
    </row>
    <row r="27" spans="2:21" ht="18.5" x14ac:dyDescent="0.9">
      <c r="B27" s="2" t="s">
        <v>1</v>
      </c>
      <c r="C27" s="2">
        <v>415</v>
      </c>
      <c r="L27" t="s">
        <v>21</v>
      </c>
      <c r="N27" t="s">
        <v>22</v>
      </c>
      <c r="O27" t="s">
        <v>23</v>
      </c>
      <c r="P27" t="s">
        <v>17</v>
      </c>
      <c r="Q27" t="s">
        <v>16</v>
      </c>
      <c r="R27" t="s">
        <v>18</v>
      </c>
      <c r="S27" t="s">
        <v>19</v>
      </c>
      <c r="T27" t="s">
        <v>21</v>
      </c>
      <c r="U27" t="s">
        <v>22</v>
      </c>
    </row>
    <row r="28" spans="2:21" ht="18.5" x14ac:dyDescent="0.9">
      <c r="B28" s="2" t="s">
        <v>3</v>
      </c>
      <c r="C28" s="2">
        <f>C26+C27</f>
        <v>1873.655</v>
      </c>
      <c r="J28" t="s">
        <v>20</v>
      </c>
      <c r="L28">
        <f>H36*3%+H36</f>
        <v>1745.5685010000002</v>
      </c>
      <c r="M28">
        <v>1514.865</v>
      </c>
      <c r="N28">
        <v>600</v>
      </c>
      <c r="O28">
        <v>415</v>
      </c>
      <c r="P28">
        <f>L28-M28</f>
        <v>230.70350100000019</v>
      </c>
      <c r="Q28">
        <f>N28-O28</f>
        <v>185</v>
      </c>
      <c r="R28" s="5">
        <f>P28+Q28</f>
        <v>415.70350100000019</v>
      </c>
      <c r="S28" s="6">
        <v>5</v>
      </c>
    </row>
    <row r="29" spans="2:21" ht="18.5" x14ac:dyDescent="0.9">
      <c r="B29" s="11" t="s">
        <v>10</v>
      </c>
      <c r="C29" s="11"/>
      <c r="T29">
        <f>P28*S28</f>
        <v>1153.5175050000009</v>
      </c>
      <c r="U29">
        <f>Q28*S28</f>
        <v>925</v>
      </c>
    </row>
    <row r="30" spans="2:21" ht="18.5" x14ac:dyDescent="0.9">
      <c r="B30" s="2" t="s">
        <v>2</v>
      </c>
      <c r="C30" s="2">
        <v>1514.865</v>
      </c>
      <c r="Q30">
        <f>R28*S28</f>
        <v>2078.5175050000007</v>
      </c>
    </row>
    <row r="31" spans="2:21" ht="18.5" x14ac:dyDescent="0.9">
      <c r="B31" s="2" t="s">
        <v>1</v>
      </c>
      <c r="C31" s="2">
        <v>415</v>
      </c>
      <c r="S31" t="s">
        <v>26</v>
      </c>
    </row>
    <row r="32" spans="2:21" ht="18.5" x14ac:dyDescent="0.9">
      <c r="B32" s="2" t="s">
        <v>3</v>
      </c>
      <c r="C32" s="2">
        <f>C30+C31</f>
        <v>1929.865</v>
      </c>
      <c r="H32" s="12" t="s">
        <v>13</v>
      </c>
      <c r="I32" s="12"/>
      <c r="J32" t="s">
        <v>15</v>
      </c>
      <c r="K32" s="12" t="s">
        <v>14</v>
      </c>
      <c r="L32" s="12"/>
      <c r="M32" t="s">
        <v>15</v>
      </c>
      <c r="N32" t="s">
        <v>17</v>
      </c>
      <c r="O32" t="s">
        <v>16</v>
      </c>
      <c r="P32" t="s">
        <v>18</v>
      </c>
      <c r="Q32" t="s">
        <v>19</v>
      </c>
      <c r="R32" s="4" t="s">
        <v>24</v>
      </c>
      <c r="S32" t="s">
        <v>21</v>
      </c>
      <c r="T32" t="s">
        <v>25</v>
      </c>
    </row>
    <row r="33" spans="2:22" ht="18.5" x14ac:dyDescent="0.9">
      <c r="B33" s="11" t="s">
        <v>12</v>
      </c>
      <c r="C33" s="11"/>
      <c r="G33">
        <v>2019</v>
      </c>
      <c r="H33">
        <v>1500</v>
      </c>
      <c r="I33">
        <v>600</v>
      </c>
      <c r="J33">
        <f>H33+I33</f>
        <v>2100</v>
      </c>
      <c r="K33">
        <v>1325</v>
      </c>
      <c r="L33">
        <v>415</v>
      </c>
      <c r="M33">
        <f>K33+L33</f>
        <v>1740</v>
      </c>
      <c r="N33">
        <f>H33-K33</f>
        <v>175</v>
      </c>
      <c r="O33">
        <f>I33-L33</f>
        <v>185</v>
      </c>
      <c r="P33">
        <f>N33+O33</f>
        <v>360</v>
      </c>
      <c r="Q33">
        <v>8</v>
      </c>
      <c r="R33">
        <f>P33*Q33</f>
        <v>2880</v>
      </c>
      <c r="S33">
        <f>N33*Q33</f>
        <v>1400</v>
      </c>
      <c r="T33">
        <f>O33*Q33</f>
        <v>1480</v>
      </c>
    </row>
    <row r="34" spans="2:22" ht="18.5" x14ac:dyDescent="0.9">
      <c r="B34" s="2" t="s">
        <v>2</v>
      </c>
      <c r="C34" s="2">
        <v>1700</v>
      </c>
      <c r="G34">
        <v>2020</v>
      </c>
      <c r="H34">
        <f>J33*3%+H33</f>
        <v>1563</v>
      </c>
      <c r="I34">
        <v>600</v>
      </c>
      <c r="J34">
        <f t="shared" ref="J34:J37" si="0">H34+I34</f>
        <v>2163</v>
      </c>
      <c r="K34">
        <v>1377.2</v>
      </c>
      <c r="L34">
        <v>415</v>
      </c>
      <c r="M34">
        <f t="shared" ref="M34:M35" si="1">K34+L34</f>
        <v>1792.2</v>
      </c>
      <c r="N34">
        <f t="shared" ref="N34:N37" si="2">H34-K34</f>
        <v>185.79999999999995</v>
      </c>
      <c r="O34">
        <f t="shared" ref="O34:O40" si="3">I34-L34</f>
        <v>185</v>
      </c>
      <c r="P34">
        <f t="shared" ref="P34:P40" si="4">N34+O34</f>
        <v>370.79999999999995</v>
      </c>
      <c r="Q34">
        <v>12</v>
      </c>
      <c r="R34">
        <f t="shared" ref="R34:R40" si="5">P34*Q34</f>
        <v>4449.5999999999995</v>
      </c>
      <c r="S34">
        <f t="shared" ref="S34:S40" si="6">N34*Q34</f>
        <v>2229.5999999999995</v>
      </c>
      <c r="T34">
        <f t="shared" ref="T34:T40" si="7">O34*Q34</f>
        <v>2220</v>
      </c>
    </row>
    <row r="35" spans="2:22" ht="18.5" x14ac:dyDescent="0.9">
      <c r="B35" s="2" t="s">
        <v>1</v>
      </c>
      <c r="C35" s="2">
        <v>600</v>
      </c>
      <c r="G35">
        <v>2021</v>
      </c>
      <c r="H35">
        <f>J34*3%+H34</f>
        <v>1627.89</v>
      </c>
      <c r="I35">
        <v>600</v>
      </c>
      <c r="J35">
        <f t="shared" si="0"/>
        <v>2227.8900000000003</v>
      </c>
      <c r="K35">
        <v>1404.0830000000001</v>
      </c>
      <c r="L35">
        <v>415</v>
      </c>
      <c r="M35">
        <f t="shared" si="1"/>
        <v>1819.0830000000001</v>
      </c>
      <c r="N35">
        <f t="shared" si="2"/>
        <v>223.80700000000002</v>
      </c>
      <c r="O35">
        <f t="shared" si="3"/>
        <v>185</v>
      </c>
      <c r="P35">
        <f t="shared" si="4"/>
        <v>408.80700000000002</v>
      </c>
      <c r="Q35">
        <v>12</v>
      </c>
      <c r="R35">
        <f t="shared" si="5"/>
        <v>4905.6840000000002</v>
      </c>
      <c r="S35">
        <f t="shared" si="6"/>
        <v>2685.6840000000002</v>
      </c>
      <c r="T35">
        <f t="shared" si="7"/>
        <v>2220</v>
      </c>
    </row>
    <row r="36" spans="2:22" ht="18.5" x14ac:dyDescent="0.9">
      <c r="B36" s="2" t="s">
        <v>3</v>
      </c>
      <c r="C36" s="2">
        <f>C34+C35</f>
        <v>2300</v>
      </c>
      <c r="G36">
        <v>2022</v>
      </c>
      <c r="H36" s="5">
        <f>J35*3%+H35</f>
        <v>1694.7267000000002</v>
      </c>
      <c r="I36">
        <v>600</v>
      </c>
      <c r="J36">
        <f t="shared" si="0"/>
        <v>2294.7267000000002</v>
      </c>
      <c r="K36">
        <v>1458.655</v>
      </c>
      <c r="L36">
        <v>415</v>
      </c>
      <c r="M36">
        <f>K36+L36</f>
        <v>1873.655</v>
      </c>
      <c r="N36">
        <f t="shared" si="2"/>
        <v>236.07170000000019</v>
      </c>
      <c r="O36">
        <f t="shared" si="3"/>
        <v>185</v>
      </c>
      <c r="P36">
        <f t="shared" si="4"/>
        <v>421.07170000000019</v>
      </c>
      <c r="Q36">
        <v>12</v>
      </c>
      <c r="R36">
        <f t="shared" si="5"/>
        <v>5052.8604000000023</v>
      </c>
      <c r="S36">
        <f t="shared" si="6"/>
        <v>2832.8604000000023</v>
      </c>
      <c r="T36">
        <f t="shared" si="7"/>
        <v>2220</v>
      </c>
    </row>
    <row r="37" spans="2:22" ht="18.5" x14ac:dyDescent="0.9">
      <c r="B37" s="11" t="s">
        <v>11</v>
      </c>
      <c r="C37" s="11"/>
      <c r="G37">
        <v>2023</v>
      </c>
      <c r="H37" s="5">
        <f>J36*3%+H36</f>
        <v>1763.5685010000002</v>
      </c>
      <c r="I37">
        <v>600</v>
      </c>
      <c r="J37">
        <f t="shared" si="0"/>
        <v>2363.5685010000002</v>
      </c>
      <c r="K37">
        <v>1514.865</v>
      </c>
      <c r="L37">
        <v>415</v>
      </c>
      <c r="M37">
        <f>K37+L37</f>
        <v>1929.865</v>
      </c>
      <c r="N37">
        <f t="shared" si="2"/>
        <v>248.70350100000019</v>
      </c>
      <c r="O37">
        <f t="shared" si="3"/>
        <v>185</v>
      </c>
      <c r="P37">
        <f t="shared" si="4"/>
        <v>433.70350100000019</v>
      </c>
      <c r="Q37">
        <v>6</v>
      </c>
      <c r="R37" s="5">
        <f t="shared" si="5"/>
        <v>2602.2210060000011</v>
      </c>
      <c r="S37">
        <f t="shared" si="6"/>
        <v>1492.2210060000011</v>
      </c>
      <c r="T37">
        <f t="shared" si="7"/>
        <v>1110</v>
      </c>
    </row>
    <row r="38" spans="2:22" ht="18.5" x14ac:dyDescent="0.9">
      <c r="B38" s="2" t="s">
        <v>2</v>
      </c>
      <c r="C38" s="2">
        <v>1769</v>
      </c>
      <c r="G38">
        <v>2023</v>
      </c>
      <c r="H38" s="5">
        <f>J36*3%+H36</f>
        <v>1763.5685010000002</v>
      </c>
      <c r="I38">
        <v>600</v>
      </c>
      <c r="J38" s="5">
        <f>H38+I38</f>
        <v>2363.5685010000002</v>
      </c>
      <c r="K38">
        <v>1700</v>
      </c>
      <c r="L38" s="5">
        <v>600</v>
      </c>
      <c r="M38">
        <f>K38+L38</f>
        <v>2300</v>
      </c>
      <c r="N38" s="5">
        <f>H38-K38</f>
        <v>63.568501000000197</v>
      </c>
      <c r="O38">
        <f t="shared" si="3"/>
        <v>0</v>
      </c>
      <c r="P38">
        <f t="shared" si="4"/>
        <v>63.568501000000197</v>
      </c>
      <c r="Q38">
        <v>6</v>
      </c>
      <c r="R38">
        <f t="shared" si="5"/>
        <v>381.41100600000118</v>
      </c>
      <c r="S38">
        <f t="shared" si="6"/>
        <v>381.41100600000118</v>
      </c>
      <c r="T38">
        <f t="shared" si="7"/>
        <v>0</v>
      </c>
    </row>
    <row r="39" spans="2:22" ht="18.5" x14ac:dyDescent="0.9">
      <c r="B39" s="2" t="s">
        <v>1</v>
      </c>
      <c r="C39" s="2">
        <v>600</v>
      </c>
      <c r="G39">
        <v>2024</v>
      </c>
      <c r="H39" s="5">
        <f t="shared" ref="H39" si="8">J38*3%+H38</f>
        <v>1834.4755560300002</v>
      </c>
      <c r="I39">
        <v>600</v>
      </c>
      <c r="J39" s="5">
        <f>H39+I39</f>
        <v>2434.47555603</v>
      </c>
      <c r="K39">
        <f>M38*3%+K38</f>
        <v>1769</v>
      </c>
      <c r="L39">
        <v>600</v>
      </c>
      <c r="M39">
        <f>K39+L39</f>
        <v>2369</v>
      </c>
      <c r="N39" s="5">
        <f>H39-K39</f>
        <v>65.475556030000234</v>
      </c>
      <c r="O39">
        <f t="shared" si="3"/>
        <v>0</v>
      </c>
      <c r="P39">
        <f t="shared" si="4"/>
        <v>65.475556030000234</v>
      </c>
      <c r="Q39">
        <v>12</v>
      </c>
      <c r="R39" s="5">
        <f t="shared" si="5"/>
        <v>785.70667236000281</v>
      </c>
      <c r="S39">
        <f t="shared" si="6"/>
        <v>785.70667236000281</v>
      </c>
      <c r="T39">
        <f t="shared" si="7"/>
        <v>0</v>
      </c>
    </row>
    <row r="40" spans="2:22" ht="18.5" x14ac:dyDescent="0.9">
      <c r="B40" s="2" t="s">
        <v>3</v>
      </c>
      <c r="C40" s="2">
        <f>C38+C39</f>
        <v>2369</v>
      </c>
      <c r="G40">
        <v>2025</v>
      </c>
      <c r="H40" s="5">
        <f>J39*3%+H39</f>
        <v>1907.5098227109002</v>
      </c>
      <c r="I40">
        <v>600</v>
      </c>
      <c r="J40">
        <f>H40+I40</f>
        <v>2507.5098227109002</v>
      </c>
      <c r="K40">
        <f>M39*3%+K39</f>
        <v>1840.07</v>
      </c>
      <c r="L40">
        <v>600</v>
      </c>
      <c r="M40">
        <f>K40+L40</f>
        <v>2440.0699999999997</v>
      </c>
      <c r="N40">
        <f>H40-K40</f>
        <v>67.439822710900216</v>
      </c>
      <c r="O40">
        <f t="shared" si="3"/>
        <v>0</v>
      </c>
      <c r="P40">
        <f t="shared" si="4"/>
        <v>67.439822710900216</v>
      </c>
      <c r="Q40">
        <v>2</v>
      </c>
      <c r="R40" s="5">
        <f t="shared" si="5"/>
        <v>134.87964542180043</v>
      </c>
      <c r="S40">
        <f t="shared" si="6"/>
        <v>134.87964542180043</v>
      </c>
      <c r="T40">
        <f t="shared" si="7"/>
        <v>0</v>
      </c>
    </row>
    <row r="41" spans="2:22" x14ac:dyDescent="0.75">
      <c r="R41" s="5">
        <f>SUM(R33:R40)</f>
        <v>21192.362729781806</v>
      </c>
    </row>
    <row r="44" spans="2:22" x14ac:dyDescent="0.75">
      <c r="G44">
        <v>2019</v>
      </c>
      <c r="H44">
        <v>1500</v>
      </c>
      <c r="I44">
        <v>2100</v>
      </c>
    </row>
    <row r="45" spans="2:22" x14ac:dyDescent="0.75">
      <c r="G45">
        <v>2020</v>
      </c>
      <c r="H45">
        <f>J33*3%+1500</f>
        <v>1563</v>
      </c>
      <c r="I45">
        <f>H45+600</f>
        <v>2163</v>
      </c>
    </row>
    <row r="46" spans="2:22" x14ac:dyDescent="0.75">
      <c r="B46" s="10">
        <v>0.05</v>
      </c>
      <c r="C46" s="5">
        <v>4310.08</v>
      </c>
      <c r="D46">
        <v>2021</v>
      </c>
      <c r="E46">
        <f>H35*15%*F46</f>
        <v>1709.2845</v>
      </c>
      <c r="F46">
        <v>7</v>
      </c>
      <c r="G46">
        <v>2021</v>
      </c>
      <c r="H46">
        <f>I45*3%+H45</f>
        <v>1627.89</v>
      </c>
      <c r="I46">
        <f t="shared" ref="I46:I49" si="9">H46+600</f>
        <v>2227.8900000000003</v>
      </c>
      <c r="R46" s="12" t="s">
        <v>27</v>
      </c>
      <c r="S46" s="12"/>
    </row>
    <row r="47" spans="2:22" x14ac:dyDescent="0.75">
      <c r="B47" s="10">
        <v>0.1</v>
      </c>
      <c r="C47" s="5">
        <v>8620.16</v>
      </c>
      <c r="D47">
        <v>2022</v>
      </c>
      <c r="E47" s="5">
        <f>H36*15%*F47</f>
        <v>3050.5080600000001</v>
      </c>
      <c r="F47">
        <v>12</v>
      </c>
      <c r="G47">
        <v>2022</v>
      </c>
      <c r="H47">
        <f t="shared" ref="H47:H49" si="10">I46*3%+H46</f>
        <v>1694.7267000000002</v>
      </c>
      <c r="I47">
        <f t="shared" si="9"/>
        <v>2294.7267000000002</v>
      </c>
      <c r="Q47" s="3" t="s">
        <v>31</v>
      </c>
      <c r="R47" s="3" t="s">
        <v>28</v>
      </c>
      <c r="S47" s="3" t="s">
        <v>29</v>
      </c>
      <c r="T47" s="3" t="s">
        <v>30</v>
      </c>
      <c r="U47" s="3" t="s">
        <v>19</v>
      </c>
      <c r="V47" s="3" t="s">
        <v>32</v>
      </c>
    </row>
    <row r="48" spans="2:22" x14ac:dyDescent="0.75">
      <c r="B48" s="10">
        <v>0.15</v>
      </c>
      <c r="C48" s="5">
        <v>12930.24</v>
      </c>
      <c r="D48">
        <v>2023</v>
      </c>
      <c r="E48" s="5">
        <f>H37*15%*F48</f>
        <v>3174.4233018000004</v>
      </c>
      <c r="F48">
        <v>12</v>
      </c>
      <c r="G48">
        <v>2023</v>
      </c>
      <c r="H48" s="5">
        <f t="shared" si="10"/>
        <v>1763.5685010000002</v>
      </c>
      <c r="I48">
        <f t="shared" si="9"/>
        <v>2363.5685010000002</v>
      </c>
      <c r="Q48" s="3">
        <v>2019</v>
      </c>
      <c r="R48" s="8">
        <f>H33*15%</f>
        <v>225</v>
      </c>
      <c r="S48" s="3">
        <f>K33*15%</f>
        <v>198.75</v>
      </c>
      <c r="T48" s="8">
        <f>R48-S48</f>
        <v>26.25</v>
      </c>
      <c r="U48" s="3">
        <v>8</v>
      </c>
      <c r="V48" s="5">
        <f>T48*U48</f>
        <v>210</v>
      </c>
    </row>
    <row r="49" spans="4:28" x14ac:dyDescent="0.75">
      <c r="D49">
        <v>2024</v>
      </c>
      <c r="E49" s="5">
        <f>H38*15%*F49</f>
        <v>1851.7469260500002</v>
      </c>
      <c r="F49">
        <v>7</v>
      </c>
      <c r="G49">
        <v>2024</v>
      </c>
      <c r="H49" s="5">
        <f t="shared" si="10"/>
        <v>1834.4755560300002</v>
      </c>
      <c r="I49">
        <f t="shared" si="9"/>
        <v>2434.47555603</v>
      </c>
      <c r="Q49" s="3">
        <v>2020</v>
      </c>
      <c r="R49" s="8">
        <f t="shared" ref="R49:R54" si="11">H34*15%</f>
        <v>234.45</v>
      </c>
      <c r="S49" s="3">
        <f t="shared" ref="S49:S55" si="12">K34*15%</f>
        <v>206.58</v>
      </c>
      <c r="T49" s="8">
        <f t="shared" ref="T49:T55" si="13">R49-S49</f>
        <v>27.869999999999976</v>
      </c>
      <c r="U49" s="3">
        <v>12</v>
      </c>
      <c r="V49" s="5">
        <f t="shared" ref="V49:V55" si="14">T49*U49</f>
        <v>334.43999999999971</v>
      </c>
    </row>
    <row r="50" spans="4:28" x14ac:dyDescent="0.75">
      <c r="E50" s="5">
        <f>SUM(E46:E49)</f>
        <v>9785.9627878499996</v>
      </c>
      <c r="G50">
        <v>2025</v>
      </c>
      <c r="H50" s="5">
        <f>I49*3%+H49</f>
        <v>1907.5098227109002</v>
      </c>
      <c r="I50">
        <f>H50+600</f>
        <v>2507.5098227109002</v>
      </c>
      <c r="M50" s="7"/>
      <c r="Q50" s="3">
        <v>2021</v>
      </c>
      <c r="R50" s="8">
        <f t="shared" si="11"/>
        <v>244.18350000000001</v>
      </c>
      <c r="S50" s="3">
        <f t="shared" si="12"/>
        <v>210.61245</v>
      </c>
      <c r="T50" s="8">
        <f t="shared" si="13"/>
        <v>33.571050000000014</v>
      </c>
      <c r="U50" s="3">
        <v>12</v>
      </c>
      <c r="V50" s="5">
        <f t="shared" si="14"/>
        <v>402.85260000000017</v>
      </c>
    </row>
    <row r="51" spans="4:28" x14ac:dyDescent="0.75">
      <c r="G51">
        <v>2026</v>
      </c>
      <c r="H51" s="5">
        <f t="shared" ref="H51:H54" si="15">I50*3%+H50</f>
        <v>1982.735117392227</v>
      </c>
      <c r="I51">
        <f t="shared" ref="I51:I54" si="16">H51+600</f>
        <v>2582.735117392227</v>
      </c>
      <c r="Q51" s="3">
        <v>2022</v>
      </c>
      <c r="R51" s="8">
        <f t="shared" si="11"/>
        <v>254.20900500000002</v>
      </c>
      <c r="S51" s="3">
        <f t="shared" si="12"/>
        <v>218.79825</v>
      </c>
      <c r="T51" s="8">
        <f t="shared" si="13"/>
        <v>35.410755000000023</v>
      </c>
      <c r="U51" s="3">
        <v>12</v>
      </c>
      <c r="V51" s="5">
        <f t="shared" si="14"/>
        <v>424.92906000000028</v>
      </c>
    </row>
    <row r="52" spans="4:28" x14ac:dyDescent="0.75">
      <c r="G52">
        <v>2027</v>
      </c>
      <c r="H52" s="5">
        <f t="shared" si="15"/>
        <v>2060.2171709139939</v>
      </c>
      <c r="I52">
        <f t="shared" si="16"/>
        <v>2660.2171709139939</v>
      </c>
      <c r="Q52" s="3">
        <v>2023</v>
      </c>
      <c r="R52" s="8">
        <f t="shared" si="11"/>
        <v>264.53527515000002</v>
      </c>
      <c r="S52" s="3">
        <f t="shared" si="12"/>
        <v>227.22975</v>
      </c>
      <c r="T52" s="8">
        <f t="shared" si="13"/>
        <v>37.305525150000022</v>
      </c>
      <c r="U52" s="3">
        <v>4</v>
      </c>
      <c r="V52" s="5">
        <f t="shared" si="14"/>
        <v>149.22210060000009</v>
      </c>
    </row>
    <row r="53" spans="4:28" x14ac:dyDescent="0.75">
      <c r="G53">
        <v>2028</v>
      </c>
      <c r="H53" s="5">
        <f t="shared" si="15"/>
        <v>2140.0236860414138</v>
      </c>
      <c r="I53">
        <f t="shared" si="16"/>
        <v>2740.0236860414138</v>
      </c>
      <c r="Q53" s="3">
        <v>2023</v>
      </c>
      <c r="R53" s="8">
        <f t="shared" si="11"/>
        <v>264.53527515000002</v>
      </c>
      <c r="S53" s="3">
        <f t="shared" si="12"/>
        <v>255</v>
      </c>
      <c r="T53" s="8">
        <f t="shared" si="13"/>
        <v>9.5352751500000181</v>
      </c>
      <c r="U53" s="3">
        <v>8</v>
      </c>
      <c r="V53" s="5">
        <f t="shared" si="14"/>
        <v>76.282201200000145</v>
      </c>
    </row>
    <row r="54" spans="4:28" x14ac:dyDescent="0.75">
      <c r="G54">
        <v>2029</v>
      </c>
      <c r="H54" s="5">
        <f t="shared" si="15"/>
        <v>2222.2243966226561</v>
      </c>
      <c r="I54">
        <f t="shared" si="16"/>
        <v>2822.2243966226561</v>
      </c>
      <c r="K54" s="7"/>
      <c r="Q54" s="3">
        <v>2024</v>
      </c>
      <c r="R54" s="8">
        <f t="shared" si="11"/>
        <v>275.17133340450005</v>
      </c>
      <c r="S54" s="3">
        <f t="shared" si="12"/>
        <v>265.34999999999997</v>
      </c>
      <c r="T54" s="8">
        <f t="shared" si="13"/>
        <v>9.8213334045000806</v>
      </c>
      <c r="U54" s="3">
        <v>12</v>
      </c>
      <c r="V54" s="5">
        <f t="shared" si="14"/>
        <v>117.85600085400097</v>
      </c>
    </row>
    <row r="55" spans="4:28" x14ac:dyDescent="0.75">
      <c r="Q55" s="3">
        <v>2025</v>
      </c>
      <c r="R55" s="8">
        <f>H40*15%</f>
        <v>286.126473406635</v>
      </c>
      <c r="S55" s="3">
        <f t="shared" si="12"/>
        <v>276.01049999999998</v>
      </c>
      <c r="T55" s="8">
        <f t="shared" si="13"/>
        <v>10.115973406635021</v>
      </c>
      <c r="U55" s="3">
        <v>2</v>
      </c>
      <c r="V55" s="5">
        <f t="shared" si="14"/>
        <v>20.231946813270042</v>
      </c>
    </row>
    <row r="56" spans="4:28" x14ac:dyDescent="0.75">
      <c r="V56" s="9">
        <f>SUM(V48:V55)</f>
        <v>1735.8139094672713</v>
      </c>
    </row>
    <row r="60" spans="4:28" x14ac:dyDescent="0.75">
      <c r="N60" s="5">
        <f>V56+R41</f>
        <v>22928.176639249075</v>
      </c>
    </row>
    <row r="61" spans="4:28" x14ac:dyDescent="0.75">
      <c r="O61" t="s">
        <v>34</v>
      </c>
      <c r="R61" t="s">
        <v>37</v>
      </c>
      <c r="T61" t="s">
        <v>38</v>
      </c>
      <c r="Y61" t="s">
        <v>44</v>
      </c>
    </row>
    <row r="62" spans="4:28" x14ac:dyDescent="0.75">
      <c r="M62" s="3" t="s">
        <v>31</v>
      </c>
      <c r="N62" t="s">
        <v>36</v>
      </c>
      <c r="O62" t="s">
        <v>35</v>
      </c>
      <c r="P62" t="s">
        <v>33</v>
      </c>
      <c r="Q62" t="s">
        <v>21</v>
      </c>
      <c r="R62" t="s">
        <v>35</v>
      </c>
      <c r="S62" t="s">
        <v>33</v>
      </c>
      <c r="T62" t="s">
        <v>39</v>
      </c>
      <c r="U62" t="s">
        <v>40</v>
      </c>
      <c r="V62" t="s">
        <v>41</v>
      </c>
      <c r="W62" t="s">
        <v>42</v>
      </c>
      <c r="X62" t="s">
        <v>43</v>
      </c>
      <c r="Y62" t="s">
        <v>28</v>
      </c>
      <c r="Z62" t="s">
        <v>29</v>
      </c>
      <c r="AA62" t="s">
        <v>45</v>
      </c>
      <c r="AB62" t="s">
        <v>15</v>
      </c>
    </row>
    <row r="63" spans="4:28" x14ac:dyDescent="0.75">
      <c r="M63" s="3">
        <v>2019</v>
      </c>
      <c r="N63">
        <v>1500</v>
      </c>
      <c r="O63">
        <v>600</v>
      </c>
      <c r="P63">
        <f>N63+O63</f>
        <v>2100</v>
      </c>
      <c r="Q63">
        <v>1325</v>
      </c>
      <c r="R63">
        <v>415</v>
      </c>
      <c r="S63">
        <f>Q63+R63</f>
        <v>1740</v>
      </c>
      <c r="T63">
        <v>8</v>
      </c>
      <c r="U63" s="5">
        <f>P63-S63</f>
        <v>360</v>
      </c>
      <c r="V63">
        <f>U63*T63</f>
        <v>2880</v>
      </c>
      <c r="W63" s="5">
        <f>N63-Q63</f>
        <v>175</v>
      </c>
      <c r="X63">
        <f>O63-R63</f>
        <v>185</v>
      </c>
      <c r="Y63" s="5">
        <f>N63*15%</f>
        <v>225</v>
      </c>
      <c r="Z63" s="5">
        <f>Q63*15%</f>
        <v>198.75</v>
      </c>
      <c r="AA63" s="5">
        <f>Y63-Z63</f>
        <v>26.25</v>
      </c>
      <c r="AB63" s="5">
        <f>AA63*T63</f>
        <v>210</v>
      </c>
    </row>
    <row r="64" spans="4:28" x14ac:dyDescent="0.75">
      <c r="M64" s="3">
        <v>2020</v>
      </c>
      <c r="N64">
        <f>P63*3%+N63</f>
        <v>1563</v>
      </c>
      <c r="O64">
        <v>600</v>
      </c>
      <c r="P64">
        <f t="shared" ref="P64:P66" si="17">N64+O64</f>
        <v>2163</v>
      </c>
      <c r="Q64">
        <v>1377.2</v>
      </c>
      <c r="R64">
        <v>415</v>
      </c>
      <c r="S64">
        <f t="shared" ref="S64:S70" si="18">Q64+R64</f>
        <v>1792.2</v>
      </c>
      <c r="T64">
        <v>12</v>
      </c>
      <c r="U64" s="5">
        <f t="shared" ref="U64:U70" si="19">P64-S64</f>
        <v>370.79999999999995</v>
      </c>
      <c r="V64">
        <f t="shared" ref="V64:V70" si="20">U64*T64</f>
        <v>4449.5999999999995</v>
      </c>
      <c r="W64" s="5">
        <f t="shared" ref="W64:W70" si="21">N64-Q64</f>
        <v>185.79999999999995</v>
      </c>
      <c r="X64">
        <f t="shared" ref="X64:X70" si="22">O64-R64</f>
        <v>185</v>
      </c>
      <c r="Y64" s="5">
        <f t="shared" ref="Y64:Y70" si="23">N64*15%</f>
        <v>234.45</v>
      </c>
      <c r="Z64" s="5">
        <f t="shared" ref="Z64:Z70" si="24">Q64*15%</f>
        <v>206.58</v>
      </c>
      <c r="AA64" s="5">
        <f t="shared" ref="AA64:AA70" si="25">Y64-Z64</f>
        <v>27.869999999999976</v>
      </c>
      <c r="AB64" s="5">
        <f t="shared" ref="AB64:AB70" si="26">AA64*T64</f>
        <v>334.43999999999971</v>
      </c>
    </row>
    <row r="65" spans="8:28" x14ac:dyDescent="0.75">
      <c r="M65" s="3">
        <v>2021</v>
      </c>
      <c r="N65">
        <f t="shared" ref="N65:N66" si="27">P64*3%+N64</f>
        <v>1627.89</v>
      </c>
      <c r="O65">
        <v>600</v>
      </c>
      <c r="P65">
        <f t="shared" si="17"/>
        <v>2227.8900000000003</v>
      </c>
      <c r="Q65">
        <v>1404.0830000000001</v>
      </c>
      <c r="R65">
        <v>415</v>
      </c>
      <c r="S65">
        <f t="shared" si="18"/>
        <v>1819.0830000000001</v>
      </c>
      <c r="T65">
        <v>12</v>
      </c>
      <c r="U65" s="5">
        <f t="shared" si="19"/>
        <v>408.80700000000024</v>
      </c>
      <c r="V65">
        <f t="shared" si="20"/>
        <v>4905.6840000000029</v>
      </c>
      <c r="W65" s="5">
        <f t="shared" si="21"/>
        <v>223.80700000000002</v>
      </c>
      <c r="X65">
        <f t="shared" si="22"/>
        <v>185</v>
      </c>
      <c r="Y65" s="5">
        <f t="shared" si="23"/>
        <v>244.18350000000001</v>
      </c>
      <c r="Z65" s="5">
        <f t="shared" si="24"/>
        <v>210.61245</v>
      </c>
      <c r="AA65" s="5">
        <f t="shared" si="25"/>
        <v>33.571050000000014</v>
      </c>
      <c r="AB65" s="5">
        <f t="shared" si="26"/>
        <v>402.85260000000017</v>
      </c>
    </row>
    <row r="66" spans="8:28" x14ac:dyDescent="0.75">
      <c r="M66" s="3">
        <v>2022</v>
      </c>
      <c r="N66">
        <f t="shared" si="27"/>
        <v>1694.7267000000002</v>
      </c>
      <c r="O66">
        <v>600</v>
      </c>
      <c r="P66">
        <f t="shared" si="17"/>
        <v>2294.7267000000002</v>
      </c>
      <c r="Q66">
        <v>1458.655</v>
      </c>
      <c r="R66">
        <v>415</v>
      </c>
      <c r="S66">
        <f t="shared" si="18"/>
        <v>1873.655</v>
      </c>
      <c r="T66">
        <v>12</v>
      </c>
      <c r="U66" s="5">
        <f t="shared" si="19"/>
        <v>421.07170000000019</v>
      </c>
      <c r="V66" s="5">
        <f t="shared" si="20"/>
        <v>5052.8604000000023</v>
      </c>
      <c r="W66" s="5">
        <f t="shared" si="21"/>
        <v>236.07170000000019</v>
      </c>
      <c r="X66">
        <f t="shared" si="22"/>
        <v>185</v>
      </c>
      <c r="Y66" s="5">
        <f t="shared" si="23"/>
        <v>254.20900500000002</v>
      </c>
      <c r="Z66" s="5">
        <f t="shared" si="24"/>
        <v>218.79825</v>
      </c>
      <c r="AA66" s="5">
        <f t="shared" si="25"/>
        <v>35.410755000000023</v>
      </c>
      <c r="AB66" s="5">
        <f t="shared" si="26"/>
        <v>424.92906000000028</v>
      </c>
    </row>
    <row r="67" spans="8:28" x14ac:dyDescent="0.75">
      <c r="M67" s="3">
        <v>2023</v>
      </c>
      <c r="N67">
        <v>1763.569</v>
      </c>
      <c r="O67">
        <v>600</v>
      </c>
      <c r="P67">
        <f t="shared" ref="P67:P75" si="28">N67+O67</f>
        <v>2363.569</v>
      </c>
      <c r="Q67">
        <v>1514.865</v>
      </c>
      <c r="R67">
        <v>415</v>
      </c>
      <c r="S67">
        <f t="shared" si="18"/>
        <v>1929.865</v>
      </c>
      <c r="T67">
        <v>4</v>
      </c>
      <c r="U67" s="5">
        <f t="shared" si="19"/>
        <v>433.70399999999995</v>
      </c>
      <c r="V67" s="5">
        <f t="shared" si="20"/>
        <v>1734.8159999999998</v>
      </c>
      <c r="W67" s="5">
        <f t="shared" si="21"/>
        <v>248.70399999999995</v>
      </c>
      <c r="X67">
        <f t="shared" si="22"/>
        <v>185</v>
      </c>
      <c r="Y67" s="5">
        <f t="shared" si="23"/>
        <v>264.53534999999999</v>
      </c>
      <c r="Z67" s="5">
        <f t="shared" si="24"/>
        <v>227.22975</v>
      </c>
      <c r="AA67" s="5">
        <f t="shared" si="25"/>
        <v>37.305599999999998</v>
      </c>
      <c r="AB67" s="5">
        <f t="shared" si="26"/>
        <v>149.22239999999999</v>
      </c>
    </row>
    <row r="68" spans="8:28" x14ac:dyDescent="0.75">
      <c r="M68" s="3">
        <v>2023</v>
      </c>
      <c r="N68">
        <f>P66*3%+N66</f>
        <v>1763.5685010000002</v>
      </c>
      <c r="O68">
        <v>600</v>
      </c>
      <c r="P68">
        <f t="shared" si="28"/>
        <v>2363.5685010000002</v>
      </c>
      <c r="Q68">
        <v>1700</v>
      </c>
      <c r="R68">
        <v>600</v>
      </c>
      <c r="S68">
        <f t="shared" si="18"/>
        <v>2300</v>
      </c>
      <c r="T68">
        <v>8</v>
      </c>
      <c r="U68" s="5">
        <f t="shared" si="19"/>
        <v>63.568501000000197</v>
      </c>
      <c r="V68" s="5">
        <f t="shared" si="20"/>
        <v>508.54800800000157</v>
      </c>
      <c r="W68" s="5">
        <f t="shared" si="21"/>
        <v>63.568501000000197</v>
      </c>
      <c r="X68">
        <f t="shared" si="22"/>
        <v>0</v>
      </c>
      <c r="Y68" s="5">
        <f t="shared" si="23"/>
        <v>264.53527515000002</v>
      </c>
      <c r="Z68" s="5">
        <f t="shared" si="24"/>
        <v>255</v>
      </c>
      <c r="AA68" s="5">
        <f t="shared" si="25"/>
        <v>9.5352751500000181</v>
      </c>
      <c r="AB68" s="5">
        <f t="shared" si="26"/>
        <v>76.282201200000145</v>
      </c>
    </row>
    <row r="69" spans="8:28" x14ac:dyDescent="0.75">
      <c r="M69" s="3">
        <v>2024</v>
      </c>
      <c r="N69">
        <f t="shared" ref="N69:N75" si="29">P68*3%+N68</f>
        <v>1834.4755560300002</v>
      </c>
      <c r="O69">
        <v>600</v>
      </c>
      <c r="P69">
        <f t="shared" si="28"/>
        <v>2434.47555603</v>
      </c>
      <c r="Q69">
        <f>S68*3%+Q68</f>
        <v>1769</v>
      </c>
      <c r="R69">
        <v>600</v>
      </c>
      <c r="S69">
        <f t="shared" si="18"/>
        <v>2369</v>
      </c>
      <c r="T69">
        <v>12</v>
      </c>
      <c r="U69" s="5">
        <f t="shared" si="19"/>
        <v>65.475556030000007</v>
      </c>
      <c r="V69" s="5">
        <f t="shared" si="20"/>
        <v>785.70667236000008</v>
      </c>
      <c r="W69" s="5">
        <f t="shared" si="21"/>
        <v>65.475556030000234</v>
      </c>
      <c r="X69">
        <f t="shared" si="22"/>
        <v>0</v>
      </c>
      <c r="Y69" s="5">
        <f t="shared" si="23"/>
        <v>275.17133340450005</v>
      </c>
      <c r="Z69" s="5">
        <f t="shared" si="24"/>
        <v>265.34999999999997</v>
      </c>
      <c r="AA69" s="5">
        <f t="shared" si="25"/>
        <v>9.8213334045000806</v>
      </c>
      <c r="AB69" s="5">
        <f t="shared" si="26"/>
        <v>117.85600085400097</v>
      </c>
    </row>
    <row r="70" spans="8:28" x14ac:dyDescent="0.75">
      <c r="H70">
        <v>2078</v>
      </c>
      <c r="I70">
        <v>600</v>
      </c>
      <c r="J70">
        <f>H70+I70</f>
        <v>2678</v>
      </c>
      <c r="K70">
        <f>J70*3%+H70+600</f>
        <v>2758.34</v>
      </c>
      <c r="M70" s="3">
        <v>2025</v>
      </c>
      <c r="N70">
        <f t="shared" si="29"/>
        <v>1907.5098227109002</v>
      </c>
      <c r="O70">
        <v>600</v>
      </c>
      <c r="P70" s="5">
        <f t="shared" si="28"/>
        <v>2507.5098227109002</v>
      </c>
      <c r="Q70">
        <f>S69*3%+Q69</f>
        <v>1840.07</v>
      </c>
      <c r="R70">
        <v>600</v>
      </c>
      <c r="S70">
        <f t="shared" si="18"/>
        <v>2440.0699999999997</v>
      </c>
      <c r="T70">
        <v>2</v>
      </c>
      <c r="U70" s="5">
        <f t="shared" si="19"/>
        <v>67.439822710900444</v>
      </c>
      <c r="V70" s="5">
        <f t="shared" si="20"/>
        <v>134.87964542180089</v>
      </c>
      <c r="W70" s="5">
        <f t="shared" si="21"/>
        <v>67.439822710900216</v>
      </c>
      <c r="X70">
        <f t="shared" si="22"/>
        <v>0</v>
      </c>
      <c r="Y70" s="5">
        <f t="shared" si="23"/>
        <v>286.126473406635</v>
      </c>
      <c r="Z70" s="5">
        <f t="shared" si="24"/>
        <v>276.01049999999998</v>
      </c>
      <c r="AA70" s="5">
        <f t="shared" si="25"/>
        <v>10.115973406635021</v>
      </c>
      <c r="AB70" s="5">
        <f t="shared" si="26"/>
        <v>20.231946813270042</v>
      </c>
    </row>
    <row r="71" spans="8:28" x14ac:dyDescent="0.75">
      <c r="H71">
        <v>2078</v>
      </c>
      <c r="I71">
        <v>600</v>
      </c>
      <c r="J71">
        <f t="shared" ref="J71:J74" si="30">H71+I71</f>
        <v>2678</v>
      </c>
      <c r="K71">
        <f t="shared" ref="K71:K74" si="31">J71*3%+H71+600</f>
        <v>2758.34</v>
      </c>
      <c r="M71" s="3">
        <v>2026</v>
      </c>
      <c r="N71">
        <f t="shared" si="29"/>
        <v>1982.735117392227</v>
      </c>
      <c r="O71">
        <v>600</v>
      </c>
      <c r="P71">
        <f t="shared" si="28"/>
        <v>2582.735117392227</v>
      </c>
      <c r="V71" s="5">
        <f>SUM(V63:V70)</f>
        <v>20452.094725781804</v>
      </c>
      <c r="AB71" s="5">
        <f>SUM(AB63:AB70)</f>
        <v>1735.8142088672714</v>
      </c>
    </row>
    <row r="72" spans="8:28" x14ac:dyDescent="0.75">
      <c r="H72">
        <v>1560.95</v>
      </c>
      <c r="I72">
        <v>600</v>
      </c>
      <c r="J72">
        <f t="shared" si="30"/>
        <v>2160.9499999999998</v>
      </c>
      <c r="K72">
        <f t="shared" si="31"/>
        <v>2225.7785000000003</v>
      </c>
      <c r="M72" s="3">
        <v>2027</v>
      </c>
      <c r="N72">
        <f t="shared" si="29"/>
        <v>2060.2171709139939</v>
      </c>
      <c r="O72">
        <v>600</v>
      </c>
      <c r="P72">
        <f t="shared" si="28"/>
        <v>2660.2171709139939</v>
      </c>
    </row>
    <row r="73" spans="8:28" x14ac:dyDescent="0.75">
      <c r="H73">
        <v>2093</v>
      </c>
      <c r="I73">
        <v>600</v>
      </c>
      <c r="J73">
        <f t="shared" si="30"/>
        <v>2693</v>
      </c>
      <c r="K73">
        <f t="shared" si="31"/>
        <v>2773.79</v>
      </c>
      <c r="M73" s="3">
        <v>2028</v>
      </c>
      <c r="N73">
        <f t="shared" si="29"/>
        <v>2140.0236860414138</v>
      </c>
      <c r="O73">
        <v>600</v>
      </c>
      <c r="P73">
        <f t="shared" si="28"/>
        <v>2740.0236860414138</v>
      </c>
    </row>
    <row r="74" spans="8:28" x14ac:dyDescent="0.75">
      <c r="H74">
        <v>1769</v>
      </c>
      <c r="I74">
        <v>600</v>
      </c>
      <c r="J74">
        <f t="shared" si="30"/>
        <v>2369</v>
      </c>
      <c r="K74">
        <f t="shared" si="31"/>
        <v>2440.0699999999997</v>
      </c>
      <c r="M74" s="3">
        <v>2029</v>
      </c>
      <c r="N74">
        <f t="shared" si="29"/>
        <v>2222.2243966226561</v>
      </c>
      <c r="O74">
        <v>600</v>
      </c>
      <c r="P74">
        <f t="shared" si="28"/>
        <v>2822.2243966226561</v>
      </c>
    </row>
    <row r="75" spans="8:28" x14ac:dyDescent="0.75">
      <c r="M75" s="3">
        <v>2030</v>
      </c>
      <c r="N75">
        <f t="shared" si="29"/>
        <v>2306.8911285213358</v>
      </c>
      <c r="O75">
        <v>600</v>
      </c>
      <c r="P75">
        <f t="shared" si="28"/>
        <v>2906.8911285213358</v>
      </c>
    </row>
    <row r="82" spans="14:17" x14ac:dyDescent="0.75">
      <c r="N82">
        <v>2018</v>
      </c>
      <c r="O82">
        <v>1500</v>
      </c>
      <c r="P82">
        <v>600</v>
      </c>
      <c r="Q82">
        <f>O82+P82</f>
        <v>2100</v>
      </c>
    </row>
    <row r="83" spans="14:17" x14ac:dyDescent="0.75">
      <c r="N83">
        <v>2019</v>
      </c>
      <c r="O83" s="5">
        <f>Q82*3%+O82</f>
        <v>1563</v>
      </c>
      <c r="P83">
        <v>600</v>
      </c>
      <c r="Q83">
        <f t="shared" ref="Q83:Q91" si="32">O83+P83</f>
        <v>2163</v>
      </c>
    </row>
    <row r="84" spans="14:17" x14ac:dyDescent="0.75">
      <c r="N84">
        <v>2020</v>
      </c>
      <c r="O84" s="5">
        <f t="shared" ref="O84:O91" si="33">Q83*3%+O83</f>
        <v>1627.89</v>
      </c>
      <c r="P84">
        <v>600</v>
      </c>
      <c r="Q84">
        <f t="shared" si="32"/>
        <v>2227.8900000000003</v>
      </c>
    </row>
    <row r="85" spans="14:17" x14ac:dyDescent="0.75">
      <c r="N85">
        <v>2021</v>
      </c>
      <c r="O85" s="5">
        <f t="shared" si="33"/>
        <v>1694.7267000000002</v>
      </c>
      <c r="P85">
        <v>600</v>
      </c>
      <c r="Q85">
        <f t="shared" si="32"/>
        <v>2294.7267000000002</v>
      </c>
    </row>
    <row r="86" spans="14:17" x14ac:dyDescent="0.75">
      <c r="N86">
        <v>2022</v>
      </c>
      <c r="O86" s="5">
        <f t="shared" si="33"/>
        <v>1763.5685010000002</v>
      </c>
      <c r="P86">
        <v>600</v>
      </c>
      <c r="Q86">
        <f t="shared" si="32"/>
        <v>2363.5685010000002</v>
      </c>
    </row>
    <row r="87" spans="14:17" x14ac:dyDescent="0.75">
      <c r="N87">
        <v>2023</v>
      </c>
      <c r="O87" s="5">
        <f t="shared" si="33"/>
        <v>1834.4755560300002</v>
      </c>
      <c r="P87">
        <v>600</v>
      </c>
      <c r="Q87">
        <f t="shared" si="32"/>
        <v>2434.47555603</v>
      </c>
    </row>
    <row r="88" spans="14:17" x14ac:dyDescent="0.75">
      <c r="N88">
        <v>2024</v>
      </c>
      <c r="O88" s="5">
        <f t="shared" si="33"/>
        <v>1907.5098227109002</v>
      </c>
      <c r="P88">
        <v>600</v>
      </c>
      <c r="Q88">
        <f t="shared" si="32"/>
        <v>2507.5098227109002</v>
      </c>
    </row>
    <row r="89" spans="14:17" x14ac:dyDescent="0.75">
      <c r="N89">
        <v>2025</v>
      </c>
      <c r="O89" s="5">
        <f t="shared" si="33"/>
        <v>1982.735117392227</v>
      </c>
      <c r="P89">
        <v>600</v>
      </c>
      <c r="Q89">
        <f t="shared" si="32"/>
        <v>2582.735117392227</v>
      </c>
    </row>
    <row r="90" spans="14:17" x14ac:dyDescent="0.75">
      <c r="N90">
        <v>2026</v>
      </c>
      <c r="O90" s="5">
        <f t="shared" si="33"/>
        <v>2060.2171709139939</v>
      </c>
      <c r="P90">
        <v>600</v>
      </c>
      <c r="Q90">
        <f t="shared" si="32"/>
        <v>2660.2171709139939</v>
      </c>
    </row>
    <row r="91" spans="14:17" x14ac:dyDescent="0.75">
      <c r="N91">
        <v>2027</v>
      </c>
      <c r="O91" s="5">
        <f t="shared" si="33"/>
        <v>2140.0236860414138</v>
      </c>
      <c r="P91">
        <v>600</v>
      </c>
      <c r="Q91">
        <f t="shared" si="32"/>
        <v>2740.0236860414138</v>
      </c>
    </row>
  </sheetData>
  <mergeCells count="13">
    <mergeCell ref="B33:C33"/>
    <mergeCell ref="B37:C37"/>
    <mergeCell ref="R46:S46"/>
    <mergeCell ref="H32:I32"/>
    <mergeCell ref="K32:L32"/>
    <mergeCell ref="B21:C21"/>
    <mergeCell ref="B25:C25"/>
    <mergeCell ref="B29:C29"/>
    <mergeCell ref="B1:C1"/>
    <mergeCell ref="B5:C5"/>
    <mergeCell ref="B9:C9"/>
    <mergeCell ref="B13:C13"/>
    <mergeCell ref="B17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OPAZ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Al Ghailani</dc:creator>
  <cp:lastModifiedBy>Tariq Al Maskari</cp:lastModifiedBy>
  <dcterms:created xsi:type="dcterms:W3CDTF">2025-01-13T10:29:28Z</dcterms:created>
  <dcterms:modified xsi:type="dcterms:W3CDTF">2025-05-02T07:36:17Z</dcterms:modified>
</cp:coreProperties>
</file>