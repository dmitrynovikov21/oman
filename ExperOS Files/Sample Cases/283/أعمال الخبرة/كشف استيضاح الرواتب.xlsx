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5d88cdb56fc3/سطح المكتب/MoJ/المأموريات/283/أعمال الخبرة/"/>
    </mc:Choice>
  </mc:AlternateContent>
  <xr:revisionPtr revIDLastSave="98" documentId="8_{922F61BC-C3F4-4260-AE02-92083C05F7D8}" xr6:coauthVersionLast="47" xr6:coauthVersionMax="47" xr10:uidLastSave="{C0B7A4A1-2422-4F18-9A20-A0629A0B13DC}"/>
  <bookViews>
    <workbookView xWindow="-90" yWindow="-90" windowWidth="19380" windowHeight="11460" xr2:uid="{5D960BC7-91BF-484F-B91E-3B803EBB1DBE}"/>
  </bookViews>
  <sheets>
    <sheet name="Sheet1" sheetId="1" r:id="rId1"/>
  </sheets>
  <definedNames>
    <definedName name="_xlnm._FilterDatabase" localSheetId="0" hidden="1">Sheet1!$H$3:$L$49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F83" i="1"/>
  <c r="F73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70" i="1"/>
  <c r="K69" i="1"/>
  <c r="H70" i="1"/>
  <c r="C64" i="1"/>
  <c r="C65" i="1"/>
  <c r="C63" i="1"/>
  <c r="D63" i="1"/>
  <c r="H65" i="1"/>
  <c r="H64" i="1"/>
  <c r="H56" i="1"/>
</calcChain>
</file>

<file path=xl/sharedStrings.xml><?xml version="1.0" encoding="utf-8"?>
<sst xmlns="http://schemas.openxmlformats.org/spreadsheetml/2006/main" count="30" uniqueCount="29">
  <si>
    <t>24/11/2021</t>
  </si>
  <si>
    <t>30/12/2021</t>
  </si>
  <si>
    <t>20/1/2022</t>
  </si>
  <si>
    <t>29/6/2022</t>
  </si>
  <si>
    <t>20/10/2022</t>
  </si>
  <si>
    <t>29/11/2022</t>
  </si>
  <si>
    <t>28/12/2022</t>
  </si>
  <si>
    <t>18/5/2023</t>
  </si>
  <si>
    <t>26/6/2023</t>
  </si>
  <si>
    <t>27/7/2023</t>
  </si>
  <si>
    <t>31/8/2023</t>
  </si>
  <si>
    <t>26/10/2023</t>
  </si>
  <si>
    <t>27/12/2023</t>
  </si>
  <si>
    <t>28/2/2023</t>
  </si>
  <si>
    <t>24/3/2023</t>
  </si>
  <si>
    <t>13/6/2024</t>
  </si>
  <si>
    <t>21/7/2024</t>
  </si>
  <si>
    <t>13/8/2024</t>
  </si>
  <si>
    <t>16/9/2024</t>
  </si>
  <si>
    <t>21/10/2024</t>
  </si>
  <si>
    <t>الراتب الفعلي</t>
  </si>
  <si>
    <t>الراتب المودع في الحساب البنكي</t>
  </si>
  <si>
    <t>عن شهر</t>
  </si>
  <si>
    <t>تاريخ الإيداع</t>
  </si>
  <si>
    <t xml:space="preserve">البيان </t>
  </si>
  <si>
    <t>حساب عمولة المبيعات</t>
  </si>
  <si>
    <t>المبيعات</t>
  </si>
  <si>
    <t>التاريخ</t>
  </si>
  <si>
    <t>الإجمالي السنوي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</si>
</sst>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0" xfId="0" applyNumberFormat="1"/>
    <xf numFmtId="0" fontId="0" fillId="2" borderId="1" xfId="0" applyFill="1" applyBorder="1" applyAlignment="1">
      <alignment horizontal="center"/>
    </xf>
    <xf numFmtId="3" fontId="0" fillId="0" borderId="0" xfId="0" applyNumberFormat="1"/>
    <xf numFmtId="16" fontId="0" fillId="0" borderId="0" xfId="0" applyNumberForma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A991-3AFE-46AA-9AE8-044A3042F66E}">
  <dimension ref="C3:M91"/>
  <sheetViews>
    <sheetView tabSelected="1" topLeftCell="E1" zoomScale="115" zoomScaleNormal="115" workbookViewId="0">
      <selection activeCell="L7" activeCellId="2" sqref="L38 L28 L7"/>
    </sheetView>
  </sheetViews>
  <sheetFormatPr defaultRowHeight="14.75" x14ac:dyDescent="0.75"/>
  <cols>
    <col min="4" max="4" width="14.7265625" customWidth="1"/>
    <col min="5" max="5" width="14.86328125" bestFit="1" customWidth="1"/>
    <col min="6" max="6" width="16.08984375" customWidth="1"/>
    <col min="7" max="7" width="2.40625" customWidth="1"/>
    <col min="8" max="8" width="32.31640625" customWidth="1"/>
    <col min="9" max="9" width="11.6796875" bestFit="1" customWidth="1"/>
    <col min="10" max="10" width="14.1328125" customWidth="1"/>
    <col min="11" max="11" width="22.04296875" bestFit="1" customWidth="1"/>
    <col min="12" max="12" width="16.453125" customWidth="1"/>
    <col min="13" max="13" width="9.953125" bestFit="1" customWidth="1"/>
  </cols>
  <sheetData>
    <row r="3" spans="8:13" x14ac:dyDescent="0.75">
      <c r="H3" s="4" t="s">
        <v>24</v>
      </c>
      <c r="I3" s="4" t="s">
        <v>22</v>
      </c>
      <c r="J3" s="5" t="s">
        <v>23</v>
      </c>
      <c r="K3" s="5" t="s">
        <v>21</v>
      </c>
      <c r="L3" s="4" t="s">
        <v>20</v>
      </c>
      <c r="M3" s="1"/>
    </row>
    <row r="4" spans="8:13" x14ac:dyDescent="0.75">
      <c r="H4" s="8"/>
      <c r="I4" s="6">
        <v>44198</v>
      </c>
      <c r="J4" s="7"/>
      <c r="K4" s="7">
        <v>0</v>
      </c>
      <c r="L4" s="7">
        <v>650</v>
      </c>
      <c r="M4" s="3"/>
    </row>
    <row r="5" spans="8:13" x14ac:dyDescent="0.75">
      <c r="H5" s="8"/>
      <c r="I5" s="6">
        <v>44199</v>
      </c>
      <c r="J5" s="7"/>
      <c r="K5" s="7">
        <v>0</v>
      </c>
      <c r="L5" s="7">
        <v>650</v>
      </c>
      <c r="M5" s="3"/>
    </row>
    <row r="6" spans="8:13" x14ac:dyDescent="0.75">
      <c r="H6" s="8"/>
      <c r="I6" s="6">
        <v>44200</v>
      </c>
      <c r="J6" s="7"/>
      <c r="K6" s="7">
        <v>0</v>
      </c>
      <c r="L6" s="7">
        <v>650</v>
      </c>
      <c r="M6" s="3"/>
    </row>
    <row r="7" spans="8:13" x14ac:dyDescent="0.75">
      <c r="H7" s="8"/>
      <c r="I7" s="6">
        <v>44201</v>
      </c>
      <c r="J7" s="7"/>
      <c r="K7" s="13">
        <v>0</v>
      </c>
      <c r="L7" s="7">
        <v>650</v>
      </c>
      <c r="M7" s="3"/>
    </row>
    <row r="8" spans="8:13" x14ac:dyDescent="0.75">
      <c r="H8" s="8"/>
      <c r="I8" s="6">
        <v>44202</v>
      </c>
      <c r="J8" s="6">
        <v>44261</v>
      </c>
      <c r="K8" s="7">
        <v>650</v>
      </c>
      <c r="L8" s="7">
        <v>650</v>
      </c>
      <c r="M8" s="2"/>
    </row>
    <row r="9" spans="8:13" x14ac:dyDescent="0.75">
      <c r="H9" s="8"/>
      <c r="I9" s="6">
        <v>44203</v>
      </c>
      <c r="J9" s="7"/>
      <c r="K9" s="7">
        <v>0</v>
      </c>
      <c r="L9" s="7">
        <v>650</v>
      </c>
      <c r="M9" s="3"/>
    </row>
    <row r="10" spans="8:13" x14ac:dyDescent="0.75">
      <c r="H10" s="8"/>
      <c r="I10" s="6">
        <v>44204</v>
      </c>
      <c r="J10" s="6">
        <v>44235</v>
      </c>
      <c r="K10" s="7">
        <v>650</v>
      </c>
      <c r="L10" s="7">
        <v>650</v>
      </c>
      <c r="M10" s="2"/>
    </row>
    <row r="11" spans="8:13" x14ac:dyDescent="0.75">
      <c r="H11" s="8"/>
      <c r="I11" s="6">
        <v>44205</v>
      </c>
      <c r="J11" s="7"/>
      <c r="K11" s="7">
        <v>0</v>
      </c>
      <c r="L11" s="7">
        <v>650</v>
      </c>
      <c r="M11" s="3"/>
    </row>
    <row r="12" spans="8:13" x14ac:dyDescent="0.75">
      <c r="H12" s="8"/>
      <c r="I12" s="6">
        <v>44206</v>
      </c>
      <c r="J12" s="6">
        <v>44387</v>
      </c>
      <c r="K12" s="7">
        <v>754.81700000000001</v>
      </c>
      <c r="L12" s="7">
        <v>650</v>
      </c>
      <c r="M12" s="2"/>
    </row>
    <row r="13" spans="8:13" x14ac:dyDescent="0.75">
      <c r="H13" s="8"/>
      <c r="I13" s="6">
        <v>44207</v>
      </c>
      <c r="J13" s="7" t="s">
        <v>0</v>
      </c>
      <c r="K13" s="7">
        <v>650</v>
      </c>
      <c r="L13" s="7">
        <v>650</v>
      </c>
      <c r="M13" s="3"/>
    </row>
    <row r="14" spans="8:13" x14ac:dyDescent="0.75">
      <c r="H14" s="8"/>
      <c r="I14" s="6">
        <v>44208</v>
      </c>
      <c r="J14" s="7" t="s">
        <v>1</v>
      </c>
      <c r="K14" s="7">
        <v>650</v>
      </c>
      <c r="L14" s="7">
        <v>650</v>
      </c>
      <c r="M14" s="3"/>
    </row>
    <row r="15" spans="8:13" x14ac:dyDescent="0.75">
      <c r="H15" s="8"/>
      <c r="I15" s="6">
        <v>44562</v>
      </c>
      <c r="J15" s="7" t="s">
        <v>2</v>
      </c>
      <c r="K15" s="7">
        <v>650</v>
      </c>
      <c r="L15" s="7">
        <v>650</v>
      </c>
      <c r="M15" s="3"/>
    </row>
    <row r="16" spans="8:13" x14ac:dyDescent="0.75">
      <c r="H16" s="8"/>
      <c r="I16" s="6">
        <v>44563</v>
      </c>
      <c r="J16" s="6"/>
      <c r="K16" s="7">
        <v>0</v>
      </c>
      <c r="L16" s="7">
        <v>650</v>
      </c>
      <c r="M16" s="2"/>
    </row>
    <row r="17" spans="8:13" x14ac:dyDescent="0.75">
      <c r="H17" s="8"/>
      <c r="I17" s="6">
        <v>44564</v>
      </c>
      <c r="J17" s="6">
        <v>44595</v>
      </c>
      <c r="K17" s="7">
        <v>650</v>
      </c>
      <c r="L17" s="7">
        <v>650</v>
      </c>
      <c r="M17" s="2"/>
    </row>
    <row r="18" spans="8:13" x14ac:dyDescent="0.75">
      <c r="H18" s="8"/>
      <c r="I18" s="6">
        <v>44565</v>
      </c>
      <c r="J18" s="6">
        <v>44624</v>
      </c>
      <c r="K18" s="7">
        <v>587.09699999999998</v>
      </c>
      <c r="L18" s="7">
        <v>650</v>
      </c>
      <c r="M18" s="2"/>
    </row>
    <row r="19" spans="8:13" x14ac:dyDescent="0.75">
      <c r="H19" s="8"/>
      <c r="I19" s="6">
        <v>44566</v>
      </c>
      <c r="J19" s="7"/>
      <c r="K19" s="7">
        <v>0</v>
      </c>
      <c r="L19" s="7">
        <v>650</v>
      </c>
      <c r="M19" s="3"/>
    </row>
    <row r="20" spans="8:13" x14ac:dyDescent="0.75">
      <c r="H20" s="8"/>
      <c r="I20" s="6">
        <v>44567</v>
      </c>
      <c r="J20" s="7" t="s">
        <v>3</v>
      </c>
      <c r="K20" s="7">
        <v>1267.8219999999999</v>
      </c>
      <c r="L20" s="7">
        <v>650</v>
      </c>
      <c r="M20" s="3"/>
    </row>
    <row r="21" spans="8:13" x14ac:dyDescent="0.75">
      <c r="H21" s="8"/>
      <c r="I21" s="6">
        <v>44568</v>
      </c>
      <c r="J21" s="7"/>
      <c r="K21" s="7">
        <v>0</v>
      </c>
      <c r="L21" s="7">
        <v>1400</v>
      </c>
      <c r="M21" s="3"/>
    </row>
    <row r="22" spans="8:13" x14ac:dyDescent="0.75">
      <c r="H22" s="8"/>
      <c r="I22" s="6">
        <v>44569</v>
      </c>
      <c r="J22" s="7"/>
      <c r="K22" s="7">
        <v>0</v>
      </c>
      <c r="L22" s="7">
        <v>1400</v>
      </c>
      <c r="M22" s="3"/>
    </row>
    <row r="23" spans="8:13" x14ac:dyDescent="0.75">
      <c r="H23" s="8"/>
      <c r="I23" s="6">
        <v>44570</v>
      </c>
      <c r="J23" s="6">
        <v>44874</v>
      </c>
      <c r="K23" s="7">
        <v>1897.742</v>
      </c>
      <c r="L23" s="7">
        <v>1400</v>
      </c>
      <c r="M23" s="2"/>
    </row>
    <row r="24" spans="8:13" x14ac:dyDescent="0.75">
      <c r="H24" s="8"/>
      <c r="I24" s="6">
        <v>44571</v>
      </c>
      <c r="J24" s="7" t="s">
        <v>4</v>
      </c>
      <c r="K24" s="7">
        <v>650</v>
      </c>
      <c r="L24" s="7">
        <v>1400</v>
      </c>
      <c r="M24" s="3"/>
    </row>
    <row r="25" spans="8:13" x14ac:dyDescent="0.75">
      <c r="H25" s="8"/>
      <c r="I25" s="6">
        <v>44572</v>
      </c>
      <c r="J25" s="7" t="s">
        <v>5</v>
      </c>
      <c r="K25" s="7">
        <v>1374.44</v>
      </c>
      <c r="L25" s="7">
        <v>1400</v>
      </c>
      <c r="M25" s="3"/>
    </row>
    <row r="26" spans="8:13" x14ac:dyDescent="0.75">
      <c r="H26" s="8"/>
      <c r="I26" s="6">
        <v>44573</v>
      </c>
      <c r="J26" s="7" t="s">
        <v>6</v>
      </c>
      <c r="K26" s="7">
        <v>1354.8389999999999</v>
      </c>
      <c r="L26" s="7">
        <v>1400</v>
      </c>
      <c r="M26" s="3"/>
    </row>
    <row r="27" spans="8:13" x14ac:dyDescent="0.75">
      <c r="H27" s="8"/>
      <c r="I27" s="6">
        <v>44927</v>
      </c>
      <c r="J27" s="7"/>
      <c r="K27" s="7">
        <v>0</v>
      </c>
      <c r="L27" s="7">
        <v>1427.3</v>
      </c>
      <c r="M27" s="3"/>
    </row>
    <row r="28" spans="8:13" x14ac:dyDescent="0.75">
      <c r="H28" s="8"/>
      <c r="I28" s="6">
        <v>44928</v>
      </c>
      <c r="J28" s="7"/>
      <c r="K28" s="13">
        <v>0</v>
      </c>
      <c r="L28" s="7">
        <v>1427.3</v>
      </c>
      <c r="M28" s="3"/>
    </row>
    <row r="29" spans="8:13" x14ac:dyDescent="0.75">
      <c r="H29" s="8"/>
      <c r="I29" s="6">
        <v>44929</v>
      </c>
      <c r="J29" s="7"/>
      <c r="K29" s="7">
        <v>0</v>
      </c>
      <c r="L29" s="7">
        <v>1427.3</v>
      </c>
      <c r="M29" s="3"/>
    </row>
    <row r="30" spans="8:13" x14ac:dyDescent="0.75">
      <c r="H30" s="8"/>
      <c r="I30" s="6">
        <v>44930</v>
      </c>
      <c r="J30" s="7"/>
      <c r="K30" s="7">
        <v>0</v>
      </c>
      <c r="L30" s="7">
        <v>1427.3</v>
      </c>
      <c r="M30" s="3"/>
    </row>
    <row r="31" spans="8:13" x14ac:dyDescent="0.75">
      <c r="H31" s="8"/>
      <c r="I31" s="6">
        <v>44931</v>
      </c>
      <c r="J31" s="7" t="s">
        <v>7</v>
      </c>
      <c r="K31" s="7">
        <v>1427.3</v>
      </c>
      <c r="L31" s="7">
        <v>1427.3</v>
      </c>
      <c r="M31" s="3"/>
    </row>
    <row r="32" spans="8:13" x14ac:dyDescent="0.75">
      <c r="H32" s="8"/>
      <c r="I32" s="6">
        <v>44932</v>
      </c>
      <c r="J32" s="7" t="s">
        <v>8</v>
      </c>
      <c r="K32" s="7">
        <v>1427.3</v>
      </c>
      <c r="L32" s="7">
        <v>1427.3</v>
      </c>
      <c r="M32" s="3"/>
    </row>
    <row r="33" spans="8:13" x14ac:dyDescent="0.75">
      <c r="H33" s="8"/>
      <c r="I33" s="6">
        <v>44933</v>
      </c>
      <c r="J33" s="7" t="s">
        <v>9</v>
      </c>
      <c r="K33" s="7">
        <v>1427.3</v>
      </c>
      <c r="L33" s="7">
        <v>1427.3</v>
      </c>
      <c r="M33" s="3"/>
    </row>
    <row r="34" spans="8:13" x14ac:dyDescent="0.75">
      <c r="H34" s="8"/>
      <c r="I34" s="6">
        <v>44933</v>
      </c>
      <c r="J34" s="7" t="s">
        <v>9</v>
      </c>
      <c r="K34" s="7">
        <v>1427.3</v>
      </c>
      <c r="L34" s="7">
        <v>1427.3</v>
      </c>
      <c r="M34" s="3"/>
    </row>
    <row r="35" spans="8:13" x14ac:dyDescent="0.75">
      <c r="H35" s="8"/>
      <c r="I35" s="6">
        <v>44934</v>
      </c>
      <c r="J35" s="7" t="s">
        <v>10</v>
      </c>
      <c r="K35" s="7">
        <v>1427.3</v>
      </c>
      <c r="L35" s="7">
        <v>1427.3</v>
      </c>
      <c r="M35" s="3"/>
    </row>
    <row r="36" spans="8:13" x14ac:dyDescent="0.75">
      <c r="H36" s="8"/>
      <c r="I36" s="6">
        <v>44935</v>
      </c>
      <c r="J36" s="7"/>
      <c r="K36" s="10">
        <v>0</v>
      </c>
      <c r="L36" s="7">
        <v>1427.3</v>
      </c>
      <c r="M36" s="3"/>
    </row>
    <row r="37" spans="8:13" x14ac:dyDescent="0.75">
      <c r="H37" s="8"/>
      <c r="I37" s="6">
        <v>44936</v>
      </c>
      <c r="J37" s="7" t="s">
        <v>11</v>
      </c>
      <c r="K37" s="7">
        <v>1427.3</v>
      </c>
      <c r="L37" s="7">
        <v>1427.3</v>
      </c>
      <c r="M37" s="3"/>
    </row>
    <row r="38" spans="8:13" x14ac:dyDescent="0.75">
      <c r="H38" s="8"/>
      <c r="I38" s="6">
        <v>44937</v>
      </c>
      <c r="J38" s="7"/>
      <c r="K38" s="14">
        <v>0</v>
      </c>
      <c r="L38" s="7">
        <v>1427.3</v>
      </c>
      <c r="M38" s="3"/>
    </row>
    <row r="39" spans="8:13" x14ac:dyDescent="0.75">
      <c r="H39" s="8"/>
      <c r="I39" s="6">
        <v>44938</v>
      </c>
      <c r="J39" s="7" t="s">
        <v>12</v>
      </c>
      <c r="K39" s="7">
        <v>1427.3</v>
      </c>
      <c r="L39" s="7">
        <v>1427.3</v>
      </c>
      <c r="M39" s="3"/>
    </row>
    <row r="40" spans="8:13" x14ac:dyDescent="0.75">
      <c r="H40" s="8"/>
      <c r="I40" s="6">
        <v>45292</v>
      </c>
      <c r="J40" s="7"/>
      <c r="K40" s="7">
        <v>0</v>
      </c>
      <c r="L40" s="7">
        <v>1454.6</v>
      </c>
      <c r="M40" s="3"/>
    </row>
    <row r="41" spans="8:13" x14ac:dyDescent="0.75">
      <c r="H41" s="8"/>
      <c r="I41" s="6">
        <v>45293</v>
      </c>
      <c r="J41" s="7" t="s">
        <v>13</v>
      </c>
      <c r="K41" s="7">
        <v>1454.6</v>
      </c>
      <c r="L41" s="7">
        <v>1454.6</v>
      </c>
      <c r="M41" s="3"/>
    </row>
    <row r="42" spans="8:13" x14ac:dyDescent="0.75">
      <c r="H42" s="8"/>
      <c r="I42" s="6">
        <v>45294</v>
      </c>
      <c r="J42" s="7" t="s">
        <v>14</v>
      </c>
      <c r="K42" s="7">
        <v>1454.6</v>
      </c>
      <c r="L42" s="7">
        <v>1454.6</v>
      </c>
      <c r="M42" s="3"/>
    </row>
    <row r="43" spans="8:13" x14ac:dyDescent="0.75">
      <c r="H43" s="8"/>
      <c r="I43" s="6">
        <v>45295</v>
      </c>
      <c r="J43" s="7"/>
      <c r="K43" s="7">
        <v>0</v>
      </c>
      <c r="L43" s="7">
        <v>1454.6</v>
      </c>
      <c r="M43" s="3"/>
    </row>
    <row r="44" spans="8:13" x14ac:dyDescent="0.75">
      <c r="H44" s="8"/>
      <c r="I44" s="6">
        <v>45296</v>
      </c>
      <c r="J44" s="6">
        <v>45478</v>
      </c>
      <c r="K44" s="7">
        <v>1454.6</v>
      </c>
      <c r="L44" s="7">
        <v>1454.6</v>
      </c>
      <c r="M44" s="2"/>
    </row>
    <row r="45" spans="8:13" x14ac:dyDescent="0.75">
      <c r="H45" s="8"/>
      <c r="I45" s="6">
        <v>45297</v>
      </c>
      <c r="J45" s="7" t="s">
        <v>15</v>
      </c>
      <c r="K45" s="7">
        <v>1454.6</v>
      </c>
      <c r="L45" s="7">
        <v>1454.6</v>
      </c>
      <c r="M45" s="3"/>
    </row>
    <row r="46" spans="8:13" x14ac:dyDescent="0.75">
      <c r="H46" s="8"/>
      <c r="I46" s="6">
        <v>45298</v>
      </c>
      <c r="J46" s="7" t="s">
        <v>16</v>
      </c>
      <c r="K46" s="7">
        <v>1454.6</v>
      </c>
      <c r="L46" s="7">
        <v>1454.6</v>
      </c>
      <c r="M46" s="3"/>
    </row>
    <row r="47" spans="8:13" x14ac:dyDescent="0.75">
      <c r="H47" s="8"/>
      <c r="I47" s="6">
        <v>45299</v>
      </c>
      <c r="J47" s="7" t="s">
        <v>17</v>
      </c>
      <c r="K47" s="7">
        <v>1454.6</v>
      </c>
      <c r="L47" s="7">
        <v>1454.6</v>
      </c>
      <c r="M47" s="3"/>
    </row>
    <row r="48" spans="8:13" x14ac:dyDescent="0.75">
      <c r="H48" s="8"/>
      <c r="I48" s="6">
        <v>45300</v>
      </c>
      <c r="J48" s="7" t="s">
        <v>18</v>
      </c>
      <c r="K48" s="7">
        <v>1454.6</v>
      </c>
      <c r="L48" s="7">
        <v>103.10599999999999</v>
      </c>
      <c r="M48" s="3"/>
    </row>
    <row r="49" spans="3:13" x14ac:dyDescent="0.75">
      <c r="H49" s="8"/>
      <c r="I49" s="6">
        <v>45301</v>
      </c>
      <c r="J49" s="7" t="s">
        <v>19</v>
      </c>
      <c r="K49" s="7">
        <v>1454.6</v>
      </c>
      <c r="L49" s="7">
        <v>0</v>
      </c>
      <c r="M49" s="3"/>
    </row>
    <row r="53" spans="3:13" x14ac:dyDescent="0.75">
      <c r="D53" s="9">
        <v>13709.2</v>
      </c>
      <c r="H53" s="11">
        <v>3900</v>
      </c>
      <c r="J53" s="9"/>
    </row>
    <row r="54" spans="3:13" x14ac:dyDescent="0.75">
      <c r="D54" s="9">
        <v>4378.8729999999996</v>
      </c>
      <c r="H54" s="11">
        <v>4100</v>
      </c>
      <c r="J54" s="9"/>
      <c r="K54">
        <v>2022</v>
      </c>
      <c r="L54">
        <v>2023</v>
      </c>
      <c r="M54">
        <v>2024</v>
      </c>
    </row>
    <row r="55" spans="3:13" x14ac:dyDescent="0.75">
      <c r="H55" s="9">
        <v>5709.2</v>
      </c>
      <c r="J55" s="9"/>
      <c r="L55" s="9">
        <v>3801.11</v>
      </c>
      <c r="M55" s="9">
        <v>1411.78</v>
      </c>
    </row>
    <row r="56" spans="3:13" x14ac:dyDescent="0.75">
      <c r="H56">
        <f>SUBTOTAL(9,H53:H55)</f>
        <v>13709.2</v>
      </c>
      <c r="J56" s="9"/>
      <c r="L56" s="9">
        <v>3899.14</v>
      </c>
      <c r="M56" s="9">
        <v>1756</v>
      </c>
    </row>
    <row r="57" spans="3:13" x14ac:dyDescent="0.75">
      <c r="J57" s="9"/>
      <c r="L57" s="9">
        <v>3208.7</v>
      </c>
      <c r="M57" s="9">
        <v>1633.68</v>
      </c>
    </row>
    <row r="58" spans="3:13" x14ac:dyDescent="0.75">
      <c r="L58" s="9">
        <v>3400.57</v>
      </c>
      <c r="M58" s="9">
        <v>2331.36</v>
      </c>
    </row>
    <row r="59" spans="3:13" x14ac:dyDescent="0.75">
      <c r="J59" s="9"/>
      <c r="L59" s="9">
        <v>3683.63</v>
      </c>
      <c r="M59" s="9">
        <v>4132.3599999999997</v>
      </c>
    </row>
    <row r="60" spans="3:13" x14ac:dyDescent="0.75">
      <c r="J60" s="9"/>
      <c r="L60" s="9">
        <v>2291.92</v>
      </c>
      <c r="M60" s="9">
        <v>2312.36</v>
      </c>
    </row>
    <row r="61" spans="3:13" x14ac:dyDescent="0.75">
      <c r="L61" s="9">
        <v>4068.96</v>
      </c>
      <c r="M61" s="9">
        <v>2732.52</v>
      </c>
    </row>
    <row r="62" spans="3:13" x14ac:dyDescent="0.75">
      <c r="L62" s="9">
        <v>3607.89</v>
      </c>
      <c r="M62" s="9">
        <v>2698.4</v>
      </c>
    </row>
    <row r="63" spans="3:13" x14ac:dyDescent="0.75">
      <c r="C63">
        <f>D63+H63</f>
        <v>1400</v>
      </c>
      <c r="D63">
        <f>E63-H63</f>
        <v>490</v>
      </c>
      <c r="E63">
        <v>1400</v>
      </c>
      <c r="H63">
        <v>910</v>
      </c>
      <c r="K63" s="9">
        <v>2816.0830000000001</v>
      </c>
      <c r="L63" s="9">
        <v>3041.44</v>
      </c>
      <c r="M63" s="9">
        <v>1341.36</v>
      </c>
    </row>
    <row r="64" spans="3:13" x14ac:dyDescent="0.75">
      <c r="C64">
        <f t="shared" ref="C64:C65" si="0">D64+H64</f>
        <v>1427.3</v>
      </c>
      <c r="D64">
        <v>490</v>
      </c>
      <c r="H64">
        <f>H63*3%+H63</f>
        <v>937.3</v>
      </c>
      <c r="J64" s="9"/>
      <c r="K64" s="9">
        <v>18088.07</v>
      </c>
      <c r="L64" s="9">
        <v>2549.4899999999998</v>
      </c>
    </row>
    <row r="65" spans="3:11" x14ac:dyDescent="0.75">
      <c r="C65">
        <f t="shared" si="0"/>
        <v>1455.4189999999999</v>
      </c>
      <c r="D65">
        <v>490</v>
      </c>
      <c r="H65">
        <f>H64*3%+H64</f>
        <v>965.41899999999998</v>
      </c>
      <c r="J65" s="9"/>
      <c r="K65" s="9">
        <v>1454.6</v>
      </c>
    </row>
    <row r="66" spans="3:11" x14ac:dyDescent="0.75">
      <c r="J66" s="9"/>
      <c r="K66">
        <v>272.18</v>
      </c>
    </row>
    <row r="67" spans="3:11" x14ac:dyDescent="0.75">
      <c r="K67" s="9">
        <v>4457.92</v>
      </c>
    </row>
    <row r="68" spans="3:11" x14ac:dyDescent="0.75">
      <c r="K68" s="9">
        <v>3459.35</v>
      </c>
    </row>
    <row r="69" spans="3:11" x14ac:dyDescent="0.75">
      <c r="C69" t="s">
        <v>27</v>
      </c>
      <c r="D69" t="s">
        <v>26</v>
      </c>
      <c r="E69" t="s">
        <v>25</v>
      </c>
      <c r="F69" t="s">
        <v>28</v>
      </c>
      <c r="H69" s="7">
        <v>1454.6</v>
      </c>
      <c r="K69" s="9">
        <f>SUM(K63:K68)</f>
        <v>30548.202999999994</v>
      </c>
    </row>
    <row r="70" spans="3:11" x14ac:dyDescent="0.75">
      <c r="C70" s="12">
        <v>45891</v>
      </c>
      <c r="D70" s="9">
        <v>17914.91</v>
      </c>
      <c r="E70">
        <f>D70*1%</f>
        <v>179.1491</v>
      </c>
      <c r="H70">
        <f>H69-490</f>
        <v>964.59999999999991</v>
      </c>
    </row>
    <row r="71" spans="3:11" x14ac:dyDescent="0.75">
      <c r="C71" s="12">
        <v>45922</v>
      </c>
      <c r="D71" s="9">
        <v>16787.61</v>
      </c>
      <c r="E71">
        <f t="shared" ref="E71:E91" si="1">D71*1%</f>
        <v>167.87610000000001</v>
      </c>
    </row>
    <row r="72" spans="3:11" x14ac:dyDescent="0.75">
      <c r="C72" s="12">
        <v>45983</v>
      </c>
      <c r="D72" s="9">
        <v>15604.89</v>
      </c>
      <c r="E72">
        <f t="shared" si="1"/>
        <v>156.0489</v>
      </c>
    </row>
    <row r="73" spans="3:11" x14ac:dyDescent="0.75">
      <c r="C73" s="12">
        <v>46013</v>
      </c>
      <c r="D73" s="9">
        <v>6577.03</v>
      </c>
      <c r="E73">
        <f t="shared" si="1"/>
        <v>65.770299999999992</v>
      </c>
      <c r="F73">
        <f>E70+E71+E72+E73</f>
        <v>568.84440000000006</v>
      </c>
    </row>
    <row r="74" spans="3:11" x14ac:dyDescent="0.75">
      <c r="C74" s="12">
        <v>45680</v>
      </c>
      <c r="D74" s="9">
        <v>28801.47</v>
      </c>
      <c r="E74">
        <f t="shared" si="1"/>
        <v>288.0147</v>
      </c>
    </row>
    <row r="75" spans="3:11" x14ac:dyDescent="0.75">
      <c r="C75" s="12">
        <v>45711</v>
      </c>
      <c r="D75" s="9">
        <v>25727.64</v>
      </c>
      <c r="E75">
        <f t="shared" si="1"/>
        <v>257.27640000000002</v>
      </c>
    </row>
    <row r="76" spans="3:11" x14ac:dyDescent="0.75">
      <c r="C76" s="12">
        <v>45739</v>
      </c>
      <c r="D76" s="9">
        <v>28076.85</v>
      </c>
      <c r="E76">
        <f t="shared" si="1"/>
        <v>280.76850000000002</v>
      </c>
    </row>
    <row r="77" spans="3:11" x14ac:dyDescent="0.75">
      <c r="C77" s="12">
        <v>45770</v>
      </c>
      <c r="D77" s="9">
        <v>24317.54</v>
      </c>
      <c r="E77">
        <f t="shared" si="1"/>
        <v>243.17540000000002</v>
      </c>
    </row>
    <row r="78" spans="3:11" x14ac:dyDescent="0.75">
      <c r="C78" s="12">
        <v>45800</v>
      </c>
      <c r="D78" s="9">
        <v>21387.83</v>
      </c>
      <c r="E78">
        <f t="shared" si="1"/>
        <v>213.87830000000002</v>
      </c>
    </row>
    <row r="79" spans="3:11" x14ac:dyDescent="0.75">
      <c r="C79" s="12">
        <v>45861</v>
      </c>
      <c r="D79" s="9">
        <v>15465.14</v>
      </c>
      <c r="E79">
        <f t="shared" si="1"/>
        <v>154.6514</v>
      </c>
    </row>
    <row r="80" spans="3:11" x14ac:dyDescent="0.75">
      <c r="C80" s="12">
        <v>45892</v>
      </c>
      <c r="D80" s="9">
        <v>29178.76</v>
      </c>
      <c r="E80">
        <f t="shared" si="1"/>
        <v>291.7876</v>
      </c>
    </row>
    <row r="81" spans="3:6" x14ac:dyDescent="0.75">
      <c r="C81" s="12">
        <v>45953</v>
      </c>
      <c r="D81" s="9">
        <v>28968.55</v>
      </c>
      <c r="E81">
        <f t="shared" si="1"/>
        <v>289.68549999999999</v>
      </c>
    </row>
    <row r="82" spans="3:6" x14ac:dyDescent="0.75">
      <c r="C82" s="12">
        <v>45984</v>
      </c>
      <c r="D82" s="9">
        <v>23491.55</v>
      </c>
      <c r="E82">
        <f t="shared" si="1"/>
        <v>234.91550000000001</v>
      </c>
    </row>
    <row r="83" spans="3:6" x14ac:dyDescent="0.75">
      <c r="C83" s="12">
        <v>46014</v>
      </c>
      <c r="D83" s="9">
        <v>15069.37</v>
      </c>
      <c r="E83">
        <f t="shared" si="1"/>
        <v>150.69370000000001</v>
      </c>
      <c r="F83">
        <f>E74+E75+E76+E77+E78+E79+E80+E81+E82+E83</f>
        <v>2404.8470000000002</v>
      </c>
    </row>
    <row r="84" spans="3:6" x14ac:dyDescent="0.75">
      <c r="C84" s="12">
        <v>45681</v>
      </c>
      <c r="D84" s="9">
        <v>15520.37</v>
      </c>
      <c r="E84">
        <f t="shared" si="1"/>
        <v>155.2037</v>
      </c>
    </row>
    <row r="85" spans="3:6" x14ac:dyDescent="0.75">
      <c r="C85" s="12">
        <v>45712</v>
      </c>
      <c r="D85" s="9">
        <v>18546.169999999998</v>
      </c>
      <c r="E85">
        <f t="shared" si="1"/>
        <v>185.46169999999998</v>
      </c>
    </row>
    <row r="86" spans="3:6" x14ac:dyDescent="0.75">
      <c r="C86" s="12">
        <v>45740</v>
      </c>
      <c r="D86" s="9">
        <v>10827.25</v>
      </c>
      <c r="E86">
        <f t="shared" si="1"/>
        <v>108.27250000000001</v>
      </c>
    </row>
    <row r="87" spans="3:6" x14ac:dyDescent="0.75">
      <c r="C87" s="12">
        <v>45771</v>
      </c>
      <c r="D87" s="9">
        <v>16213.99</v>
      </c>
      <c r="E87">
        <f t="shared" si="1"/>
        <v>162.13990000000001</v>
      </c>
    </row>
    <row r="88" spans="3:6" x14ac:dyDescent="0.75">
      <c r="C88" s="12">
        <v>45801</v>
      </c>
      <c r="D88" s="9">
        <v>32717.41</v>
      </c>
      <c r="E88">
        <f t="shared" si="1"/>
        <v>327.17410000000001</v>
      </c>
    </row>
    <row r="89" spans="3:6" x14ac:dyDescent="0.75">
      <c r="C89" s="12">
        <v>45832</v>
      </c>
      <c r="D89" s="9">
        <v>14639.57</v>
      </c>
      <c r="E89">
        <f t="shared" si="1"/>
        <v>146.39570000000001</v>
      </c>
    </row>
    <row r="90" spans="3:6" x14ac:dyDescent="0.75">
      <c r="C90" s="12">
        <v>45862</v>
      </c>
      <c r="D90" s="9">
        <v>17969.330000000002</v>
      </c>
      <c r="E90">
        <f t="shared" si="1"/>
        <v>179.69330000000002</v>
      </c>
    </row>
    <row r="91" spans="3:6" x14ac:dyDescent="0.75">
      <c r="C91" s="12">
        <v>45893</v>
      </c>
      <c r="D91" s="9">
        <v>21989.25</v>
      </c>
      <c r="E91">
        <f t="shared" si="1"/>
        <v>219.89250000000001</v>
      </c>
      <c r="F91">
        <f>E84+E85+E86+E87+E88+E89+E90+E91</f>
        <v>1484.2334000000001</v>
      </c>
    </row>
  </sheetData>
  <autoFilter ref="H3:L49" xr:uid="{633AA991-3AFE-46AA-9AE8-044A3042F6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Al Maskari</dc:creator>
  <cp:lastModifiedBy>Tariq Al Maskari</cp:lastModifiedBy>
  <dcterms:created xsi:type="dcterms:W3CDTF">2025-08-27T16:39:59Z</dcterms:created>
  <dcterms:modified xsi:type="dcterms:W3CDTF">2025-10-25T06:04:15Z</dcterms:modified>
</cp:coreProperties>
</file>