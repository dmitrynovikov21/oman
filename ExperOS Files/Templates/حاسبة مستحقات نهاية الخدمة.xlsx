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25d88cdb56fc3/سطح المكتب/MoJ/المأموريات/"/>
    </mc:Choice>
  </mc:AlternateContent>
  <xr:revisionPtr revIDLastSave="311" documentId="8_{2A7E1453-04D3-46B3-B02B-C9DA36D7B327}" xr6:coauthVersionLast="47" xr6:coauthVersionMax="47" xr10:uidLastSave="{3B68226C-A4AC-41B9-98E0-21B8B72733F2}"/>
  <bookViews>
    <workbookView xWindow="-90" yWindow="-90" windowWidth="19380" windowHeight="11460" xr2:uid="{91D6755E-E1BA-46AF-B482-7091C9AAF3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7" i="1"/>
  <c r="I17" i="1"/>
  <c r="G18" i="1"/>
  <c r="J4" i="2" l="1"/>
  <c r="J5" i="2"/>
  <c r="M8" i="2"/>
  <c r="N9" i="2" s="1"/>
  <c r="J12" i="2"/>
  <c r="J8" i="2"/>
  <c r="G9" i="1"/>
  <c r="G14" i="1" s="1"/>
  <c r="N8" i="2" l="1"/>
  <c r="G17" i="1"/>
  <c r="G22" i="1" s="1"/>
</calcChain>
</file>

<file path=xl/sharedStrings.xml><?xml version="1.0" encoding="utf-8"?>
<sst xmlns="http://schemas.openxmlformats.org/spreadsheetml/2006/main" count="24" uniqueCount="19">
  <si>
    <t>الراتب الأساسي</t>
  </si>
  <si>
    <t>الراتب الإجمالي</t>
  </si>
  <si>
    <t>تاريخ التعيين</t>
  </si>
  <si>
    <t xml:space="preserve">اخر يوم عمل </t>
  </si>
  <si>
    <t>رصيد الاجازات غير المستنفذة</t>
  </si>
  <si>
    <t>مدة الخدمة الاجمالية (بالايام)</t>
  </si>
  <si>
    <t xml:space="preserve">مكافأة نهاية الخدمة </t>
  </si>
  <si>
    <t>اجمالي المستحقات  (ر.ع)</t>
  </si>
  <si>
    <t xml:space="preserve">بدل رصيد الاجازات الغير مستنفذة </t>
  </si>
  <si>
    <t>البيانات الأساسية</t>
  </si>
  <si>
    <t>الثلاث سنوات الأولى</t>
  </si>
  <si>
    <t>المدد اللاحقة</t>
  </si>
  <si>
    <t>اجمالي المكافأة</t>
  </si>
  <si>
    <t xml:space="preserve">المستحقات الأخرى (راتب شهر الاشعار) </t>
  </si>
  <si>
    <t>استقطاع استحقاقات الشركة</t>
  </si>
  <si>
    <t xml:space="preserve">حساب المستحقات طبقا لقانون العمل السابق </t>
  </si>
  <si>
    <t>حساب المستحقات طبقا لقانون العمل الحالي</t>
  </si>
  <si>
    <t>بدل تذكرة عودة</t>
  </si>
  <si>
    <t xml:space="preserve">المستحقات الأخرى (الأجور المتأخرة)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</si>
</sst>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/dd/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Scheherazade New"/>
    </font>
    <font>
      <b/>
      <sz val="11"/>
      <color theme="1"/>
      <name val="Scheherazade Ne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6C47-B187-48D4-8C54-0FCAEC79227E}">
  <dimension ref="A1:T32"/>
  <sheetViews>
    <sheetView tabSelected="1" workbookViewId="0">
      <selection sqref="A1:F32"/>
    </sheetView>
  </sheetViews>
  <sheetFormatPr defaultRowHeight="14.75" x14ac:dyDescent="0.75"/>
  <cols>
    <col min="3" max="3" width="8.76953125" customWidth="1"/>
    <col min="4" max="4" width="10.26953125" bestFit="1" customWidth="1"/>
    <col min="5" max="5" width="10.58984375" bestFit="1" customWidth="1"/>
    <col min="6" max="6" width="19.40625" customWidth="1"/>
    <col min="7" max="7" width="15.1328125" customWidth="1"/>
    <col min="8" max="8" width="19.6796875" customWidth="1"/>
    <col min="9" max="9" width="16.08984375" bestFit="1" customWidth="1"/>
    <col min="10" max="10" width="29.81640625" bestFit="1" customWidth="1"/>
    <col min="11" max="11" width="10.2265625" bestFit="1" customWidth="1"/>
  </cols>
  <sheetData>
    <row r="1" spans="1:20" x14ac:dyDescent="0.75">
      <c r="A1" s="12"/>
      <c r="B1" s="12"/>
      <c r="C1" s="12"/>
      <c r="D1" s="12"/>
      <c r="E1" s="12"/>
      <c r="F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x14ac:dyDescent="0.75">
      <c r="A2" s="12"/>
      <c r="B2" s="12"/>
      <c r="C2" s="12"/>
      <c r="D2" s="12"/>
      <c r="E2" s="12"/>
      <c r="F2" s="12"/>
      <c r="G2" s="22"/>
      <c r="H2" s="22"/>
      <c r="I2" s="22"/>
      <c r="J2" s="2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32" x14ac:dyDescent="0.75">
      <c r="A3" s="12"/>
      <c r="B3" s="12"/>
      <c r="C3" s="12"/>
      <c r="D3" s="12"/>
      <c r="E3" s="12"/>
      <c r="F3" s="12"/>
      <c r="G3" s="26" t="s">
        <v>9</v>
      </c>
      <c r="H3" s="24"/>
      <c r="I3" s="24"/>
      <c r="J3" s="25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0" ht="32" x14ac:dyDescent="0.75">
      <c r="A4" s="12"/>
      <c r="B4" s="12"/>
      <c r="C4" s="12"/>
      <c r="D4" s="12"/>
      <c r="E4" s="12"/>
      <c r="F4" s="12"/>
      <c r="G4" s="4">
        <v>45580</v>
      </c>
      <c r="H4" s="2" t="s">
        <v>3</v>
      </c>
      <c r="I4" s="4">
        <v>43264</v>
      </c>
      <c r="J4" s="2" t="s">
        <v>2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32" x14ac:dyDescent="0.75">
      <c r="A5" s="12"/>
      <c r="B5" s="12"/>
      <c r="C5" s="12"/>
      <c r="D5" s="12"/>
      <c r="E5" s="12"/>
      <c r="F5" s="12"/>
      <c r="G5" s="9">
        <v>2316</v>
      </c>
      <c r="H5" s="11"/>
      <c r="I5" s="29" t="s">
        <v>5</v>
      </c>
      <c r="J5" s="29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32" x14ac:dyDescent="0.75">
      <c r="A6" s="12"/>
      <c r="B6" s="12"/>
      <c r="C6" s="12"/>
      <c r="D6" s="12"/>
      <c r="E6" s="12"/>
      <c r="F6" s="12"/>
      <c r="G6" s="2">
        <v>0</v>
      </c>
      <c r="H6" s="2" t="s">
        <v>1</v>
      </c>
      <c r="I6" s="2">
        <v>0</v>
      </c>
      <c r="J6" s="2" t="s">
        <v>0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32" x14ac:dyDescent="0.75">
      <c r="A7" s="12"/>
      <c r="B7" s="12"/>
      <c r="C7" s="12"/>
      <c r="D7" s="12"/>
      <c r="E7" s="12"/>
      <c r="F7" s="12"/>
      <c r="G7" s="9">
        <v>0</v>
      </c>
      <c r="H7" s="10"/>
      <c r="I7" s="11"/>
      <c r="J7" s="2" t="s">
        <v>4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32" x14ac:dyDescent="0.75">
      <c r="A8" s="12"/>
      <c r="B8" s="12"/>
      <c r="C8" s="12"/>
      <c r="D8" s="12"/>
      <c r="E8" s="12"/>
      <c r="F8" s="12"/>
      <c r="G8" s="26" t="s">
        <v>16</v>
      </c>
      <c r="H8" s="24"/>
      <c r="I8" s="24"/>
      <c r="J8" s="25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32" x14ac:dyDescent="0.75">
      <c r="A9" s="12"/>
      <c r="B9" s="12"/>
      <c r="C9" s="12"/>
      <c r="D9" s="12"/>
      <c r="E9" s="12"/>
      <c r="F9" s="12"/>
      <c r="G9" s="6">
        <f>I6/365*G5</f>
        <v>0</v>
      </c>
      <c r="H9" s="7"/>
      <c r="I9" s="8"/>
      <c r="J9" s="2" t="s">
        <v>6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32" x14ac:dyDescent="0.75">
      <c r="A10" s="12"/>
      <c r="B10" s="12"/>
      <c r="C10" s="12"/>
      <c r="D10" s="12"/>
      <c r="E10" s="12"/>
      <c r="F10" s="12"/>
      <c r="G10" s="6">
        <f>G6/30*G7</f>
        <v>0</v>
      </c>
      <c r="H10" s="7"/>
      <c r="I10" s="8"/>
      <c r="J10" s="2" t="s">
        <v>8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32" x14ac:dyDescent="0.75">
      <c r="A11" s="12"/>
      <c r="B11" s="12"/>
      <c r="C11" s="12"/>
      <c r="D11" s="12"/>
      <c r="E11" s="12"/>
      <c r="F11" s="12"/>
      <c r="G11" s="6">
        <v>0</v>
      </c>
      <c r="H11" s="7"/>
      <c r="I11" s="8"/>
      <c r="J11" s="2" t="s">
        <v>17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32" x14ac:dyDescent="0.75">
      <c r="A12" s="12"/>
      <c r="B12" s="12"/>
      <c r="C12" s="12"/>
      <c r="D12" s="12"/>
      <c r="E12" s="12"/>
      <c r="F12" s="12"/>
      <c r="G12" s="9">
        <v>0</v>
      </c>
      <c r="H12" s="10"/>
      <c r="I12" s="11"/>
      <c r="J12" s="2" t="s">
        <v>18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0" ht="32" x14ac:dyDescent="0.75">
      <c r="A13" s="12"/>
      <c r="B13" s="12"/>
      <c r="C13" s="12"/>
      <c r="D13" s="12"/>
      <c r="E13" s="12"/>
      <c r="F13" s="12"/>
      <c r="G13" s="9"/>
      <c r="H13" s="10"/>
      <c r="I13" s="11"/>
      <c r="J13" s="2" t="s">
        <v>14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32.75" customHeight="1" x14ac:dyDescent="0.75">
      <c r="A14" s="12"/>
      <c r="B14" s="12"/>
      <c r="C14" s="12"/>
      <c r="D14" s="12"/>
      <c r="E14" s="12"/>
      <c r="F14" s="12"/>
      <c r="G14" s="23">
        <f>G9+G10+G12+G11-G13</f>
        <v>0</v>
      </c>
      <c r="H14" s="24"/>
      <c r="I14" s="25"/>
      <c r="J14" s="5" t="s">
        <v>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ht="32" x14ac:dyDescent="0.75">
      <c r="A15" s="12"/>
      <c r="B15" s="12"/>
      <c r="C15" s="12"/>
      <c r="D15" s="12"/>
      <c r="E15" s="12"/>
      <c r="F15" s="12"/>
      <c r="G15" s="26" t="s">
        <v>15</v>
      </c>
      <c r="H15" s="24"/>
      <c r="I15" s="24"/>
      <c r="J15" s="25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32" x14ac:dyDescent="0.75">
      <c r="A16" s="12"/>
      <c r="B16" s="12"/>
      <c r="C16" s="12"/>
      <c r="D16" s="12"/>
      <c r="E16" s="12"/>
      <c r="F16" s="12"/>
      <c r="G16" s="2" t="s">
        <v>12</v>
      </c>
      <c r="H16" s="2" t="s">
        <v>11</v>
      </c>
      <c r="I16" s="2" t="s">
        <v>10</v>
      </c>
      <c r="J16" s="27" t="s">
        <v>6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32" x14ac:dyDescent="0.75">
      <c r="A17" s="12"/>
      <c r="B17" s="12"/>
      <c r="C17" s="12"/>
      <c r="D17" s="12"/>
      <c r="E17" s="12"/>
      <c r="F17" s="12"/>
      <c r="G17" s="3">
        <f>H17+I17</f>
        <v>0</v>
      </c>
      <c r="H17" s="3">
        <f>I6/365*(3426-1095)</f>
        <v>0</v>
      </c>
      <c r="I17" s="3">
        <f>I6/365/2*1095</f>
        <v>0</v>
      </c>
      <c r="J17" s="28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32" x14ac:dyDescent="0.75">
      <c r="A18" s="12"/>
      <c r="B18" s="12"/>
      <c r="C18" s="12"/>
      <c r="D18" s="12"/>
      <c r="E18" s="12"/>
      <c r="F18" s="12"/>
      <c r="G18" s="6">
        <f>I6*12/365*G7</f>
        <v>0</v>
      </c>
      <c r="H18" s="7"/>
      <c r="I18" s="8"/>
      <c r="J18" s="2" t="s">
        <v>8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32" x14ac:dyDescent="0.75">
      <c r="A19" s="12"/>
      <c r="B19" s="12"/>
      <c r="C19" s="12"/>
      <c r="D19" s="12"/>
      <c r="E19" s="12"/>
      <c r="F19" s="12"/>
      <c r="G19" s="6">
        <v>0</v>
      </c>
      <c r="H19" s="7"/>
      <c r="I19" s="8"/>
      <c r="J19" s="2" t="s">
        <v>17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ht="32" x14ac:dyDescent="0.75">
      <c r="A20" s="12"/>
      <c r="B20" s="12"/>
      <c r="C20" s="12"/>
      <c r="D20" s="12"/>
      <c r="E20" s="12"/>
      <c r="F20" s="12"/>
      <c r="G20" s="9">
        <v>0</v>
      </c>
      <c r="H20" s="10"/>
      <c r="I20" s="11"/>
      <c r="J20" s="1" t="s">
        <v>13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ht="32" x14ac:dyDescent="0.75">
      <c r="A21" s="12"/>
      <c r="B21" s="12"/>
      <c r="C21" s="12"/>
      <c r="D21" s="12"/>
      <c r="E21" s="12"/>
      <c r="F21" s="12"/>
      <c r="G21" s="9">
        <v>0</v>
      </c>
      <c r="H21" s="10"/>
      <c r="I21" s="11"/>
      <c r="J21" s="2" t="s">
        <v>14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ht="32" x14ac:dyDescent="0.75">
      <c r="A22" s="12"/>
      <c r="B22" s="12"/>
      <c r="C22" s="12"/>
      <c r="D22" s="12"/>
      <c r="E22" s="12"/>
      <c r="F22" s="12"/>
      <c r="G22" s="23">
        <f>G17+G18+G19+G20-G21</f>
        <v>0</v>
      </c>
      <c r="H22" s="24"/>
      <c r="I22" s="25"/>
      <c r="J22" s="5" t="s">
        <v>7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 spans="1:20" ht="32" customHeight="1" x14ac:dyDescent="0.75">
      <c r="A23" s="12"/>
      <c r="B23" s="12"/>
      <c r="C23" s="12"/>
      <c r="D23" s="12"/>
      <c r="E23" s="12"/>
      <c r="F23" s="12"/>
      <c r="G23" s="13"/>
      <c r="H23" s="14"/>
      <c r="I23" s="14"/>
      <c r="J23" s="15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32" customHeight="1" x14ac:dyDescent="0.75">
      <c r="A24" s="12"/>
      <c r="B24" s="12"/>
      <c r="C24" s="12"/>
      <c r="D24" s="12"/>
      <c r="E24" s="12"/>
      <c r="F24" s="12"/>
      <c r="G24" s="16"/>
      <c r="H24" s="17"/>
      <c r="I24" s="17"/>
      <c r="J24" s="18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32" customHeight="1" x14ac:dyDescent="0.75">
      <c r="A25" s="12"/>
      <c r="B25" s="12"/>
      <c r="C25" s="12"/>
      <c r="D25" s="12"/>
      <c r="E25" s="12"/>
      <c r="F25" s="12"/>
      <c r="G25" s="16"/>
      <c r="H25" s="17"/>
      <c r="I25" s="17"/>
      <c r="J25" s="18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32" customHeight="1" x14ac:dyDescent="0.75">
      <c r="A26" s="12"/>
      <c r="B26" s="12"/>
      <c r="C26" s="12"/>
      <c r="D26" s="12"/>
      <c r="E26" s="12"/>
      <c r="F26" s="12"/>
      <c r="G26" s="16"/>
      <c r="H26" s="17"/>
      <c r="I26" s="17"/>
      <c r="J26" s="18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32" customHeight="1" x14ac:dyDescent="0.75">
      <c r="A27" s="12"/>
      <c r="B27" s="12"/>
      <c r="C27" s="12"/>
      <c r="D27" s="12"/>
      <c r="E27" s="12"/>
      <c r="F27" s="12"/>
      <c r="G27" s="16"/>
      <c r="H27" s="17"/>
      <c r="I27" s="17"/>
      <c r="J27" s="18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32" customHeight="1" x14ac:dyDescent="0.75">
      <c r="A28" s="12"/>
      <c r="B28" s="12"/>
      <c r="C28" s="12"/>
      <c r="D28" s="12"/>
      <c r="E28" s="12"/>
      <c r="F28" s="12"/>
      <c r="G28" s="16"/>
      <c r="H28" s="17"/>
      <c r="I28" s="17"/>
      <c r="J28" s="18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32" customHeight="1" x14ac:dyDescent="0.75">
      <c r="A29" s="12"/>
      <c r="B29" s="12"/>
      <c r="C29" s="12"/>
      <c r="D29" s="12"/>
      <c r="E29" s="12"/>
      <c r="F29" s="12"/>
      <c r="G29" s="16"/>
      <c r="H29" s="17"/>
      <c r="I29" s="17"/>
      <c r="J29" s="18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32" customHeight="1" x14ac:dyDescent="0.75">
      <c r="A30" s="12"/>
      <c r="B30" s="12"/>
      <c r="C30" s="12"/>
      <c r="D30" s="12"/>
      <c r="E30" s="12"/>
      <c r="F30" s="12"/>
      <c r="G30" s="16"/>
      <c r="H30" s="17"/>
      <c r="I30" s="17"/>
      <c r="J30" s="18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32" customHeight="1" x14ac:dyDescent="0.75">
      <c r="A31" s="12"/>
      <c r="B31" s="12"/>
      <c r="C31" s="12"/>
      <c r="D31" s="12"/>
      <c r="E31" s="12"/>
      <c r="F31" s="12"/>
      <c r="G31" s="16"/>
      <c r="H31" s="17"/>
      <c r="I31" s="17"/>
      <c r="J31" s="18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32" customHeight="1" x14ac:dyDescent="0.75">
      <c r="A32" s="12"/>
      <c r="B32" s="12"/>
      <c r="C32" s="12"/>
      <c r="D32" s="12"/>
      <c r="E32" s="12"/>
      <c r="F32" s="12"/>
      <c r="G32" s="19"/>
      <c r="H32" s="20"/>
      <c r="I32" s="20"/>
      <c r="J32" s="21"/>
      <c r="K32" s="12"/>
      <c r="L32" s="12"/>
      <c r="M32" s="12"/>
      <c r="N32" s="12"/>
      <c r="O32" s="12"/>
      <c r="P32" s="12"/>
      <c r="Q32" s="12"/>
      <c r="R32" s="12"/>
      <c r="S32" s="12"/>
      <c r="T32" s="12"/>
    </row>
  </sheetData>
  <mergeCells count="23">
    <mergeCell ref="K1:T26"/>
    <mergeCell ref="A1:F32"/>
    <mergeCell ref="G23:J32"/>
    <mergeCell ref="K27:T32"/>
    <mergeCell ref="G2:J2"/>
    <mergeCell ref="G14:I14"/>
    <mergeCell ref="G15:J15"/>
    <mergeCell ref="J16:J17"/>
    <mergeCell ref="G22:I22"/>
    <mergeCell ref="G21:I21"/>
    <mergeCell ref="I5:J5"/>
    <mergeCell ref="G8:J8"/>
    <mergeCell ref="G3:J3"/>
    <mergeCell ref="G5:H5"/>
    <mergeCell ref="G7:I7"/>
    <mergeCell ref="G9:I9"/>
    <mergeCell ref="G19:I19"/>
    <mergeCell ref="G20:I20"/>
    <mergeCell ref="G10:I10"/>
    <mergeCell ref="G11:I11"/>
    <mergeCell ref="G12:I12"/>
    <mergeCell ref="G13:I13"/>
    <mergeCell ref="G18:I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2300-2ABD-4880-84DC-63B66F68D542}">
  <dimension ref="F4:N15"/>
  <sheetViews>
    <sheetView workbookViewId="0">
      <selection activeCell="J4" sqref="J4:J5"/>
    </sheetView>
  </sheetViews>
  <sheetFormatPr defaultRowHeight="14.75" x14ac:dyDescent="0.75"/>
  <sheetData>
    <row r="4" spans="6:14" x14ac:dyDescent="0.75">
      <c r="I4">
        <v>2330</v>
      </c>
      <c r="J4">
        <f>I4*M8</f>
        <v>5157.9178082191775</v>
      </c>
    </row>
    <row r="5" spans="6:14" x14ac:dyDescent="0.75">
      <c r="I5">
        <v>1095</v>
      </c>
      <c r="J5">
        <f>I5*M8/2</f>
        <v>1211.9999999999998</v>
      </c>
    </row>
    <row r="7" spans="6:14" x14ac:dyDescent="0.75">
      <c r="M7">
        <v>808</v>
      </c>
    </row>
    <row r="8" spans="6:14" x14ac:dyDescent="0.75">
      <c r="J8">
        <f>G8808/365*15</f>
        <v>0</v>
      </c>
      <c r="M8">
        <f>M7/365</f>
        <v>2.2136986301369861</v>
      </c>
      <c r="N8">
        <f>M8*15*3</f>
        <v>99.616438356164366</v>
      </c>
    </row>
    <row r="9" spans="6:14" x14ac:dyDescent="0.75">
      <c r="N9">
        <f>M8*30</f>
        <v>66.410958904109577</v>
      </c>
    </row>
    <row r="12" spans="6:14" x14ac:dyDescent="0.75">
      <c r="J12">
        <f>808/30*15*3</f>
        <v>1212</v>
      </c>
    </row>
    <row r="13" spans="6:14" x14ac:dyDescent="0.75">
      <c r="F13">
        <v>750</v>
      </c>
    </row>
    <row r="14" spans="6:14" x14ac:dyDescent="0.75">
      <c r="F14">
        <v>750</v>
      </c>
    </row>
    <row r="15" spans="6:14" x14ac:dyDescent="0.75">
      <c r="F15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Al Maskari</dc:creator>
  <cp:lastModifiedBy>Tariq Al Maskari</cp:lastModifiedBy>
  <cp:lastPrinted>2025-05-06T04:49:24Z</cp:lastPrinted>
  <dcterms:created xsi:type="dcterms:W3CDTF">2024-05-09T18:20:10Z</dcterms:created>
  <dcterms:modified xsi:type="dcterms:W3CDTF">2025-12-29T03:35:15Z</dcterms:modified>
</cp:coreProperties>
</file>